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gar\Downloads\"/>
    </mc:Choice>
  </mc:AlternateContent>
  <xr:revisionPtr revIDLastSave="0" documentId="13_ncr:1_{D95A352D-4695-4840-A71E-225797990E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  <sheet name="KPI" sheetId="2" r:id="rId2"/>
  </sheets>
  <definedNames>
    <definedName name="_xlnm._FilterDatabase" localSheetId="0" hidden="1">Raw_Data!$A$1:$I$1501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B15" i="2"/>
  <c r="E2" i="1" a="1"/>
  <c r="E2" i="1" s="1"/>
  <c r="C2" i="1" a="1"/>
  <c r="C2" i="1" s="1"/>
  <c r="B4" i="2"/>
  <c r="B3" i="2"/>
  <c r="B12" i="2"/>
  <c r="B13" i="2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<sst xmlns="http://schemas.openxmlformats.org/spreadsheetml/2006/main" count="7610" uniqueCount="1564">
  <si>
    <t>Claim_ID</t>
  </si>
  <si>
    <t>Payer</t>
  </si>
  <si>
    <t>Denial_Code</t>
  </si>
  <si>
    <t>Denial_Reason</t>
  </si>
  <si>
    <t>Denied_Amount</t>
  </si>
  <si>
    <t>Appeal_Status</t>
  </si>
  <si>
    <t>Days_To_Appeal</t>
  </si>
  <si>
    <t>CLM100001</t>
  </si>
  <si>
    <t>BCBS</t>
  </si>
  <si>
    <t>CO-50</t>
  </si>
  <si>
    <t>Medical Necessity</t>
  </si>
  <si>
    <t>Not Appealed</t>
  </si>
  <si>
    <t>CLM100002</t>
  </si>
  <si>
    <t>CO-109</t>
  </si>
  <si>
    <t>Wrong Payer</t>
  </si>
  <si>
    <t>Appealed</t>
  </si>
  <si>
    <t>CLM100003</t>
  </si>
  <si>
    <t>UnitedHealthcare</t>
  </si>
  <si>
    <t>CO-16</t>
  </si>
  <si>
    <t>Coding Error</t>
  </si>
  <si>
    <t>Won</t>
  </si>
  <si>
    <t>CLM100004</t>
  </si>
  <si>
    <t>Aetna</t>
  </si>
  <si>
    <t>CLM100005</t>
  </si>
  <si>
    <t>CO-197</t>
  </si>
  <si>
    <t>Prior Auth</t>
  </si>
  <si>
    <t>CLM100006</t>
  </si>
  <si>
    <t>Medicare</t>
  </si>
  <si>
    <t>CO-18</t>
  </si>
  <si>
    <t>Eligibility</t>
  </si>
  <si>
    <t>CLM100007</t>
  </si>
  <si>
    <t>Medicaid</t>
  </si>
  <si>
    <t>CO-96</t>
  </si>
  <si>
    <t>Non-Covered Service</t>
  </si>
  <si>
    <t>CLM100008</t>
  </si>
  <si>
    <t>Lost</t>
  </si>
  <si>
    <t>CLM100009</t>
  </si>
  <si>
    <t>Humana</t>
  </si>
  <si>
    <t>CLM100010</t>
  </si>
  <si>
    <t>CLM100011</t>
  </si>
  <si>
    <t>CO-45</t>
  </si>
  <si>
    <t>Contractual Adjustment</t>
  </si>
  <si>
    <t>CLM100012</t>
  </si>
  <si>
    <t>CLM100013</t>
  </si>
  <si>
    <t>Cigna</t>
  </si>
  <si>
    <t>CLM100014</t>
  </si>
  <si>
    <t>Molina</t>
  </si>
  <si>
    <t>Pending</t>
  </si>
  <si>
    <t>CLM100015</t>
  </si>
  <si>
    <t>CLM100016</t>
  </si>
  <si>
    <t>CLM100017</t>
  </si>
  <si>
    <t>CLM100018</t>
  </si>
  <si>
    <t>Tricare</t>
  </si>
  <si>
    <t>CLM100019</t>
  </si>
  <si>
    <t>Anthem</t>
  </si>
  <si>
    <t>CLM100020</t>
  </si>
  <si>
    <t>CO-29</t>
  </si>
  <si>
    <t>Timely Filing</t>
  </si>
  <si>
    <t>CLM100021</t>
  </si>
  <si>
    <t>CLM100022</t>
  </si>
  <si>
    <t>CLM100023</t>
  </si>
  <si>
    <t>CLM100024</t>
  </si>
  <si>
    <t>CO-4</t>
  </si>
  <si>
    <t>CLM100025</t>
  </si>
  <si>
    <t>CLM100026</t>
  </si>
  <si>
    <t>CLM100027</t>
  </si>
  <si>
    <t>CLM100028</t>
  </si>
  <si>
    <t>CLM100029</t>
  </si>
  <si>
    <t>CLM100030</t>
  </si>
  <si>
    <t>CLM100031</t>
  </si>
  <si>
    <t>CLM100032</t>
  </si>
  <si>
    <t>CLM100033</t>
  </si>
  <si>
    <t>CLM100034</t>
  </si>
  <si>
    <t>CLM100035</t>
  </si>
  <si>
    <t>CLM100036</t>
  </si>
  <si>
    <t>CLM100037</t>
  </si>
  <si>
    <t>CLM100038</t>
  </si>
  <si>
    <t>CLM100039</t>
  </si>
  <si>
    <t>CLM100040</t>
  </si>
  <si>
    <t>CLM100041</t>
  </si>
  <si>
    <t>CLM100042</t>
  </si>
  <si>
    <t>CLM100043</t>
  </si>
  <si>
    <t>CLM100044</t>
  </si>
  <si>
    <t>CLM100045</t>
  </si>
  <si>
    <t>CLM100046</t>
  </si>
  <si>
    <t>CLM100047</t>
  </si>
  <si>
    <t>CLM100048</t>
  </si>
  <si>
    <t>CLM100049</t>
  </si>
  <si>
    <t>CLM100050</t>
  </si>
  <si>
    <t>CLM100051</t>
  </si>
  <si>
    <t>CLM100052</t>
  </si>
  <si>
    <t>CLM100053</t>
  </si>
  <si>
    <t>CLM100054</t>
  </si>
  <si>
    <t>CLM100055</t>
  </si>
  <si>
    <t>CLM100056</t>
  </si>
  <si>
    <t>CLM100057</t>
  </si>
  <si>
    <t>CLM100058</t>
  </si>
  <si>
    <t>CLM100059</t>
  </si>
  <si>
    <t>CLM100060</t>
  </si>
  <si>
    <t>CO-97</t>
  </si>
  <si>
    <t>CLM100061</t>
  </si>
  <si>
    <t>CLM100062</t>
  </si>
  <si>
    <t>CLM100063</t>
  </si>
  <si>
    <t>CLM100064</t>
  </si>
  <si>
    <t>CLM100065</t>
  </si>
  <si>
    <t>CLM100066</t>
  </si>
  <si>
    <t>CLM100067</t>
  </si>
  <si>
    <t>CLM100068</t>
  </si>
  <si>
    <t>CLM100069</t>
  </si>
  <si>
    <t>CLM100070</t>
  </si>
  <si>
    <t>CLM100071</t>
  </si>
  <si>
    <t>CLM100072</t>
  </si>
  <si>
    <t>CLM100073</t>
  </si>
  <si>
    <t>CLM100074</t>
  </si>
  <si>
    <t>CLM100075</t>
  </si>
  <si>
    <t>CLM100076</t>
  </si>
  <si>
    <t>CLM100077</t>
  </si>
  <si>
    <t>CLM100078</t>
  </si>
  <si>
    <t>CLM100079</t>
  </si>
  <si>
    <t>CLM100080</t>
  </si>
  <si>
    <t>CLM100081</t>
  </si>
  <si>
    <t>CLM100082</t>
  </si>
  <si>
    <t>CLM100083</t>
  </si>
  <si>
    <t>CLM100084</t>
  </si>
  <si>
    <t>CLM100085</t>
  </si>
  <si>
    <t>CLM100086</t>
  </si>
  <si>
    <t>CLM100087</t>
  </si>
  <si>
    <t>CLM100088</t>
  </si>
  <si>
    <t>CLM100089</t>
  </si>
  <si>
    <t>CLM100090</t>
  </si>
  <si>
    <t>CLM100091</t>
  </si>
  <si>
    <t>CLM100092</t>
  </si>
  <si>
    <t>CLM100093</t>
  </si>
  <si>
    <t>CLM100094</t>
  </si>
  <si>
    <t>CLM100095</t>
  </si>
  <si>
    <t>CLM100096</t>
  </si>
  <si>
    <t>CLM100097</t>
  </si>
  <si>
    <t>CLM100098</t>
  </si>
  <si>
    <t>CLM100099</t>
  </si>
  <si>
    <t>CLM100100</t>
  </si>
  <si>
    <t>CLM100101</t>
  </si>
  <si>
    <t>CLM100102</t>
  </si>
  <si>
    <t>CLM100103</t>
  </si>
  <si>
    <t>CLM100104</t>
  </si>
  <si>
    <t>CLM100105</t>
  </si>
  <si>
    <t>CLM100106</t>
  </si>
  <si>
    <t>CLM100107</t>
  </si>
  <si>
    <t>CLM100108</t>
  </si>
  <si>
    <t>CLM100109</t>
  </si>
  <si>
    <t>CLM100110</t>
  </si>
  <si>
    <t>CLM100111</t>
  </si>
  <si>
    <t>CLM100112</t>
  </si>
  <si>
    <t>CLM100113</t>
  </si>
  <si>
    <t>CLM100114</t>
  </si>
  <si>
    <t>CLM100115</t>
  </si>
  <si>
    <t>CLM100116</t>
  </si>
  <si>
    <t>CLM100117</t>
  </si>
  <si>
    <t>CLM100118</t>
  </si>
  <si>
    <t>CLM100119</t>
  </si>
  <si>
    <t>CLM100120</t>
  </si>
  <si>
    <t>CLM100121</t>
  </si>
  <si>
    <t>CLM100122</t>
  </si>
  <si>
    <t>CLM100123</t>
  </si>
  <si>
    <t>CLM100124</t>
  </si>
  <si>
    <t>CLM100125</t>
  </si>
  <si>
    <t>CLM100126</t>
  </si>
  <si>
    <t>CLM100127</t>
  </si>
  <si>
    <t>CLM100128</t>
  </si>
  <si>
    <t>CLM100129</t>
  </si>
  <si>
    <t>CLM100130</t>
  </si>
  <si>
    <t>CLM100131</t>
  </si>
  <si>
    <t>CLM100132</t>
  </si>
  <si>
    <t>CLM100133</t>
  </si>
  <si>
    <t>CLM100134</t>
  </si>
  <si>
    <t>CLM100135</t>
  </si>
  <si>
    <t>CLM100136</t>
  </si>
  <si>
    <t>CLM100137</t>
  </si>
  <si>
    <t>CLM100138</t>
  </si>
  <si>
    <t>CLM100139</t>
  </si>
  <si>
    <t>CLM100140</t>
  </si>
  <si>
    <t>CLM100141</t>
  </si>
  <si>
    <t>CLM100142</t>
  </si>
  <si>
    <t>CLM100143</t>
  </si>
  <si>
    <t>CLM100144</t>
  </si>
  <si>
    <t>CLM100145</t>
  </si>
  <si>
    <t>CLM100146</t>
  </si>
  <si>
    <t>CLM100147</t>
  </si>
  <si>
    <t>CLM100148</t>
  </si>
  <si>
    <t>CLM100149</t>
  </si>
  <si>
    <t>CLM100150</t>
  </si>
  <si>
    <t>CLM100151</t>
  </si>
  <si>
    <t>CLM100152</t>
  </si>
  <si>
    <t>CLM100153</t>
  </si>
  <si>
    <t>CLM100154</t>
  </si>
  <si>
    <t>CLM100155</t>
  </si>
  <si>
    <t>CLM100156</t>
  </si>
  <si>
    <t>CLM100157</t>
  </si>
  <si>
    <t>CLM100158</t>
  </si>
  <si>
    <t>CLM100159</t>
  </si>
  <si>
    <t>CLM100160</t>
  </si>
  <si>
    <t>CLM100161</t>
  </si>
  <si>
    <t>CLM100162</t>
  </si>
  <si>
    <t>CLM100163</t>
  </si>
  <si>
    <t>CLM100164</t>
  </si>
  <si>
    <t>CLM100165</t>
  </si>
  <si>
    <t>CLM100166</t>
  </si>
  <si>
    <t>CLM100167</t>
  </si>
  <si>
    <t>CLM100168</t>
  </si>
  <si>
    <t>CLM100169</t>
  </si>
  <si>
    <t>CLM100170</t>
  </si>
  <si>
    <t>CLM100171</t>
  </si>
  <si>
    <t>CLM100172</t>
  </si>
  <si>
    <t>CLM100173</t>
  </si>
  <si>
    <t>CLM100174</t>
  </si>
  <si>
    <t>CLM100175</t>
  </si>
  <si>
    <t>CLM100176</t>
  </si>
  <si>
    <t>CLM100177</t>
  </si>
  <si>
    <t>CLM100178</t>
  </si>
  <si>
    <t>CLM100179</t>
  </si>
  <si>
    <t>CLM100180</t>
  </si>
  <si>
    <t>CLM100181</t>
  </si>
  <si>
    <t>CLM100182</t>
  </si>
  <si>
    <t>CLM100183</t>
  </si>
  <si>
    <t>CLM100184</t>
  </si>
  <si>
    <t>CLM100185</t>
  </si>
  <si>
    <t>CLM100186</t>
  </si>
  <si>
    <t>CLM100187</t>
  </si>
  <si>
    <t>CLM100188</t>
  </si>
  <si>
    <t>CLM100189</t>
  </si>
  <si>
    <t>CLM100190</t>
  </si>
  <si>
    <t>CLM100191</t>
  </si>
  <si>
    <t>CLM100192</t>
  </si>
  <si>
    <t>CLM100193</t>
  </si>
  <si>
    <t>CLM100194</t>
  </si>
  <si>
    <t>CLM100195</t>
  </si>
  <si>
    <t>CLM100196</t>
  </si>
  <si>
    <t>CLM100197</t>
  </si>
  <si>
    <t>CLM100198</t>
  </si>
  <si>
    <t>CLM100199</t>
  </si>
  <si>
    <t>CLM100200</t>
  </si>
  <si>
    <t>CLM100201</t>
  </si>
  <si>
    <t>CLM100202</t>
  </si>
  <si>
    <t>CLM100203</t>
  </si>
  <si>
    <t>CLM100204</t>
  </si>
  <si>
    <t>CLM100205</t>
  </si>
  <si>
    <t>CLM100206</t>
  </si>
  <si>
    <t>CLM100207</t>
  </si>
  <si>
    <t>CLM100208</t>
  </si>
  <si>
    <t>CLM100209</t>
  </si>
  <si>
    <t>CLM100210</t>
  </si>
  <si>
    <t>CLM100211</t>
  </si>
  <si>
    <t>CLM100212</t>
  </si>
  <si>
    <t>CLM100213</t>
  </si>
  <si>
    <t>CLM100214</t>
  </si>
  <si>
    <t>CLM100215</t>
  </si>
  <si>
    <t>CLM100216</t>
  </si>
  <si>
    <t>CLM100217</t>
  </si>
  <si>
    <t>CLM100218</t>
  </si>
  <si>
    <t>CLM100219</t>
  </si>
  <si>
    <t>CLM100220</t>
  </si>
  <si>
    <t>CLM100221</t>
  </si>
  <si>
    <t>CLM100222</t>
  </si>
  <si>
    <t>CLM100223</t>
  </si>
  <si>
    <t>CLM100224</t>
  </si>
  <si>
    <t>CLM100225</t>
  </si>
  <si>
    <t>CLM100226</t>
  </si>
  <si>
    <t>CLM100227</t>
  </si>
  <si>
    <t>CLM100228</t>
  </si>
  <si>
    <t>CLM100229</t>
  </si>
  <si>
    <t>CLM100230</t>
  </si>
  <si>
    <t>CLM100231</t>
  </si>
  <si>
    <t>CLM100232</t>
  </si>
  <si>
    <t>CLM100233</t>
  </si>
  <si>
    <t>CLM100234</t>
  </si>
  <si>
    <t>CLM100235</t>
  </si>
  <si>
    <t>CLM100236</t>
  </si>
  <si>
    <t>CLM100237</t>
  </si>
  <si>
    <t>CLM100238</t>
  </si>
  <si>
    <t>CLM100239</t>
  </si>
  <si>
    <t>CLM100240</t>
  </si>
  <si>
    <t>CLM100241</t>
  </si>
  <si>
    <t>CLM100242</t>
  </si>
  <si>
    <t>CLM100243</t>
  </si>
  <si>
    <t>CLM100244</t>
  </si>
  <si>
    <t>CLM100245</t>
  </si>
  <si>
    <t>CLM100246</t>
  </si>
  <si>
    <t>CLM100247</t>
  </si>
  <si>
    <t>CLM100248</t>
  </si>
  <si>
    <t>CLM100249</t>
  </si>
  <si>
    <t>CLM100250</t>
  </si>
  <si>
    <t>CLM100251</t>
  </si>
  <si>
    <t>CLM100252</t>
  </si>
  <si>
    <t>CLM100253</t>
  </si>
  <si>
    <t>CLM100254</t>
  </si>
  <si>
    <t>CLM100255</t>
  </si>
  <si>
    <t>CLM100256</t>
  </si>
  <si>
    <t>CLM100257</t>
  </si>
  <si>
    <t>CLM100258</t>
  </si>
  <si>
    <t>CLM100259</t>
  </si>
  <si>
    <t>CLM100260</t>
  </si>
  <si>
    <t>CLM100261</t>
  </si>
  <si>
    <t>CLM100262</t>
  </si>
  <si>
    <t>CLM100263</t>
  </si>
  <si>
    <t>CLM100264</t>
  </si>
  <si>
    <t>CLM100265</t>
  </si>
  <si>
    <t>CLM100266</t>
  </si>
  <si>
    <t>CLM100267</t>
  </si>
  <si>
    <t>CLM100268</t>
  </si>
  <si>
    <t>CLM100269</t>
  </si>
  <si>
    <t>CLM100270</t>
  </si>
  <si>
    <t>CLM100271</t>
  </si>
  <si>
    <t>CLM100272</t>
  </si>
  <si>
    <t>CLM100273</t>
  </si>
  <si>
    <t>CLM100274</t>
  </si>
  <si>
    <t>CLM100275</t>
  </si>
  <si>
    <t>CLM100276</t>
  </si>
  <si>
    <t>CLM100277</t>
  </si>
  <si>
    <t>CLM100278</t>
  </si>
  <si>
    <t>CLM100279</t>
  </si>
  <si>
    <t>CLM100280</t>
  </si>
  <si>
    <t>CLM100281</t>
  </si>
  <si>
    <t>CLM100282</t>
  </si>
  <si>
    <t>CLM100283</t>
  </si>
  <si>
    <t>CLM100284</t>
  </si>
  <si>
    <t>CLM100285</t>
  </si>
  <si>
    <t>CLM100286</t>
  </si>
  <si>
    <t>CLM100287</t>
  </si>
  <si>
    <t>CLM100288</t>
  </si>
  <si>
    <t>CLM100289</t>
  </si>
  <si>
    <t>CLM100290</t>
  </si>
  <si>
    <t>CLM100291</t>
  </si>
  <si>
    <t>CLM100292</t>
  </si>
  <si>
    <t>CLM100293</t>
  </si>
  <si>
    <t>CLM100294</t>
  </si>
  <si>
    <t>CLM100295</t>
  </si>
  <si>
    <t>CLM100296</t>
  </si>
  <si>
    <t>CLM100297</t>
  </si>
  <si>
    <t>CLM100298</t>
  </si>
  <si>
    <t>CLM100299</t>
  </si>
  <si>
    <t>CLM100300</t>
  </si>
  <si>
    <t>CLM100301</t>
  </si>
  <si>
    <t>CLM100302</t>
  </si>
  <si>
    <t>CLM100303</t>
  </si>
  <si>
    <t>CLM100304</t>
  </si>
  <si>
    <t>CLM100305</t>
  </si>
  <si>
    <t>CLM100306</t>
  </si>
  <si>
    <t>CLM100307</t>
  </si>
  <si>
    <t>CLM100308</t>
  </si>
  <si>
    <t>CLM100309</t>
  </si>
  <si>
    <t>CLM100310</t>
  </si>
  <si>
    <t>CLM100311</t>
  </si>
  <si>
    <t>CLM100312</t>
  </si>
  <si>
    <t>CLM100313</t>
  </si>
  <si>
    <t>CLM100314</t>
  </si>
  <si>
    <t>CLM100315</t>
  </si>
  <si>
    <t>CLM100316</t>
  </si>
  <si>
    <t>CLM100317</t>
  </si>
  <si>
    <t>CLM100318</t>
  </si>
  <si>
    <t>CLM100319</t>
  </si>
  <si>
    <t>CLM100320</t>
  </si>
  <si>
    <t>CLM100321</t>
  </si>
  <si>
    <t>CLM100322</t>
  </si>
  <si>
    <t>CLM100323</t>
  </si>
  <si>
    <t>CLM100324</t>
  </si>
  <si>
    <t>CLM100325</t>
  </si>
  <si>
    <t>CLM100326</t>
  </si>
  <si>
    <t>CLM100327</t>
  </si>
  <si>
    <t>CLM100328</t>
  </si>
  <si>
    <t>CLM100329</t>
  </si>
  <si>
    <t>CLM100330</t>
  </si>
  <si>
    <t>CLM100331</t>
  </si>
  <si>
    <t>CLM100332</t>
  </si>
  <si>
    <t>CLM100333</t>
  </si>
  <si>
    <t>CLM100334</t>
  </si>
  <si>
    <t>CLM100335</t>
  </si>
  <si>
    <t>CLM100336</t>
  </si>
  <si>
    <t>CLM100337</t>
  </si>
  <si>
    <t>CLM100338</t>
  </si>
  <si>
    <t>CLM100339</t>
  </si>
  <si>
    <t>CLM100340</t>
  </si>
  <si>
    <t>CLM100341</t>
  </si>
  <si>
    <t>CLM100342</t>
  </si>
  <si>
    <t>CLM100343</t>
  </si>
  <si>
    <t>CLM100344</t>
  </si>
  <si>
    <t>CLM100345</t>
  </si>
  <si>
    <t>CLM100346</t>
  </si>
  <si>
    <t>CLM100347</t>
  </si>
  <si>
    <t>CLM100348</t>
  </si>
  <si>
    <t>CLM100349</t>
  </si>
  <si>
    <t>CLM100350</t>
  </si>
  <si>
    <t>CLM100351</t>
  </si>
  <si>
    <t>CLM100352</t>
  </si>
  <si>
    <t>CLM100353</t>
  </si>
  <si>
    <t>CLM100354</t>
  </si>
  <si>
    <t>CLM100355</t>
  </si>
  <si>
    <t>CLM100356</t>
  </si>
  <si>
    <t>CLM100357</t>
  </si>
  <si>
    <t>CLM100358</t>
  </si>
  <si>
    <t>CLM100359</t>
  </si>
  <si>
    <t>CLM100360</t>
  </si>
  <si>
    <t>CLM100361</t>
  </si>
  <si>
    <t>CLM100362</t>
  </si>
  <si>
    <t>CLM100363</t>
  </si>
  <si>
    <t>CLM100364</t>
  </si>
  <si>
    <t>CLM100365</t>
  </si>
  <si>
    <t>CLM100366</t>
  </si>
  <si>
    <t>CLM100367</t>
  </si>
  <si>
    <t>CLM100368</t>
  </si>
  <si>
    <t>CLM100369</t>
  </si>
  <si>
    <t>CLM100370</t>
  </si>
  <si>
    <t>CLM100371</t>
  </si>
  <si>
    <t>CLM100372</t>
  </si>
  <si>
    <t>CLM100373</t>
  </si>
  <si>
    <t>CLM100374</t>
  </si>
  <si>
    <t>CLM100375</t>
  </si>
  <si>
    <t>CLM100376</t>
  </si>
  <si>
    <t>CLM100377</t>
  </si>
  <si>
    <t>CLM100378</t>
  </si>
  <si>
    <t>CLM100379</t>
  </si>
  <si>
    <t>CLM100380</t>
  </si>
  <si>
    <t>CLM100381</t>
  </si>
  <si>
    <t>CLM100382</t>
  </si>
  <si>
    <t>CLM100383</t>
  </si>
  <si>
    <t>CLM100384</t>
  </si>
  <si>
    <t>CLM100385</t>
  </si>
  <si>
    <t>CLM100386</t>
  </si>
  <si>
    <t>CLM100387</t>
  </si>
  <si>
    <t>CLM100388</t>
  </si>
  <si>
    <t>CLM100389</t>
  </si>
  <si>
    <t>CLM100390</t>
  </si>
  <si>
    <t>CLM100391</t>
  </si>
  <si>
    <t>CLM100392</t>
  </si>
  <si>
    <t>CLM100393</t>
  </si>
  <si>
    <t>CLM100394</t>
  </si>
  <si>
    <t>CLM100395</t>
  </si>
  <si>
    <t>CLM100396</t>
  </si>
  <si>
    <t>CLM100397</t>
  </si>
  <si>
    <t>CLM100398</t>
  </si>
  <si>
    <t>CLM100399</t>
  </si>
  <si>
    <t>CLM100400</t>
  </si>
  <si>
    <t>CLM100401</t>
  </si>
  <si>
    <t>CLM100402</t>
  </si>
  <si>
    <t>CLM100403</t>
  </si>
  <si>
    <t>CLM100404</t>
  </si>
  <si>
    <t>CLM100405</t>
  </si>
  <si>
    <t>CLM100406</t>
  </si>
  <si>
    <t>CLM100407</t>
  </si>
  <si>
    <t>CLM100408</t>
  </si>
  <si>
    <t>CLM100409</t>
  </si>
  <si>
    <t>CLM100410</t>
  </si>
  <si>
    <t>CLM100411</t>
  </si>
  <si>
    <t>CLM100412</t>
  </si>
  <si>
    <t>CLM100413</t>
  </si>
  <si>
    <t>CLM100414</t>
  </si>
  <si>
    <t>CLM100415</t>
  </si>
  <si>
    <t>CLM100416</t>
  </si>
  <si>
    <t>CLM100417</t>
  </si>
  <si>
    <t>CLM100418</t>
  </si>
  <si>
    <t>CLM100419</t>
  </si>
  <si>
    <t>CLM100420</t>
  </si>
  <si>
    <t>CLM100421</t>
  </si>
  <si>
    <t>CLM100422</t>
  </si>
  <si>
    <t>CLM100423</t>
  </si>
  <si>
    <t>CLM100424</t>
  </si>
  <si>
    <t>CLM100425</t>
  </si>
  <si>
    <t>CLM100426</t>
  </si>
  <si>
    <t>CLM100427</t>
  </si>
  <si>
    <t>CLM100428</t>
  </si>
  <si>
    <t>CLM100429</t>
  </si>
  <si>
    <t>CLM100430</t>
  </si>
  <si>
    <t>CLM100431</t>
  </si>
  <si>
    <t>CLM100432</t>
  </si>
  <si>
    <t>CLM100433</t>
  </si>
  <si>
    <t>CLM100434</t>
  </si>
  <si>
    <t>CLM100435</t>
  </si>
  <si>
    <t>CLM100436</t>
  </si>
  <si>
    <t>CLM100437</t>
  </si>
  <si>
    <t>CLM100438</t>
  </si>
  <si>
    <t>CLM100439</t>
  </si>
  <si>
    <t>CLM100440</t>
  </si>
  <si>
    <t>CLM100441</t>
  </si>
  <si>
    <t>CLM100442</t>
  </si>
  <si>
    <t>CLM100443</t>
  </si>
  <si>
    <t>CLM100444</t>
  </si>
  <si>
    <t>CLM100445</t>
  </si>
  <si>
    <t>CLM100446</t>
  </si>
  <si>
    <t>CLM100447</t>
  </si>
  <si>
    <t>CLM100448</t>
  </si>
  <si>
    <t>CLM100449</t>
  </si>
  <si>
    <t>CLM100450</t>
  </si>
  <si>
    <t>CLM100451</t>
  </si>
  <si>
    <t>CLM100452</t>
  </si>
  <si>
    <t>CLM100453</t>
  </si>
  <si>
    <t>CLM100454</t>
  </si>
  <si>
    <t>CLM100455</t>
  </si>
  <si>
    <t>CLM100456</t>
  </si>
  <si>
    <t>CLM100457</t>
  </si>
  <si>
    <t>CLM100458</t>
  </si>
  <si>
    <t>CLM100459</t>
  </si>
  <si>
    <t>CLM100460</t>
  </si>
  <si>
    <t>CLM100461</t>
  </si>
  <si>
    <t>CLM100462</t>
  </si>
  <si>
    <t>CLM100463</t>
  </si>
  <si>
    <t>CLM100464</t>
  </si>
  <si>
    <t>CLM100465</t>
  </si>
  <si>
    <t>CLM100466</t>
  </si>
  <si>
    <t>CLM100467</t>
  </si>
  <si>
    <t>CLM100468</t>
  </si>
  <si>
    <t>CLM100469</t>
  </si>
  <si>
    <t>CLM100470</t>
  </si>
  <si>
    <t>CLM100471</t>
  </si>
  <si>
    <t>CLM100472</t>
  </si>
  <si>
    <t>CLM100473</t>
  </si>
  <si>
    <t>CLM100474</t>
  </si>
  <si>
    <t>CLM100475</t>
  </si>
  <si>
    <t>CLM100476</t>
  </si>
  <si>
    <t>CLM100477</t>
  </si>
  <si>
    <t>CLM100478</t>
  </si>
  <si>
    <t>CLM100479</t>
  </si>
  <si>
    <t>CLM100480</t>
  </si>
  <si>
    <t>CLM100481</t>
  </si>
  <si>
    <t>CLM100482</t>
  </si>
  <si>
    <t>CLM100483</t>
  </si>
  <si>
    <t>CLM100484</t>
  </si>
  <si>
    <t>CLM100485</t>
  </si>
  <si>
    <t>CLM100486</t>
  </si>
  <si>
    <t>CLM100487</t>
  </si>
  <si>
    <t>CLM100488</t>
  </si>
  <si>
    <t>CLM100489</t>
  </si>
  <si>
    <t>CLM100490</t>
  </si>
  <si>
    <t>CLM100491</t>
  </si>
  <si>
    <t>CLM100492</t>
  </si>
  <si>
    <t>CLM100493</t>
  </si>
  <si>
    <t>CLM100494</t>
  </si>
  <si>
    <t>CLM100495</t>
  </si>
  <si>
    <t>CLM100496</t>
  </si>
  <si>
    <t>CLM100497</t>
  </si>
  <si>
    <t>CLM100498</t>
  </si>
  <si>
    <t>CLM100499</t>
  </si>
  <si>
    <t>CLM100500</t>
  </si>
  <si>
    <t>CLM100501</t>
  </si>
  <si>
    <t>CLM100502</t>
  </si>
  <si>
    <t>CLM100503</t>
  </si>
  <si>
    <t>CLM100504</t>
  </si>
  <si>
    <t>CLM100505</t>
  </si>
  <si>
    <t>CLM100506</t>
  </si>
  <si>
    <t>CLM100507</t>
  </si>
  <si>
    <t>CLM100508</t>
  </si>
  <si>
    <t>CLM100509</t>
  </si>
  <si>
    <t>CLM100510</t>
  </si>
  <si>
    <t>CLM100511</t>
  </si>
  <si>
    <t>CLM100512</t>
  </si>
  <si>
    <t>CLM100513</t>
  </si>
  <si>
    <t>CLM100514</t>
  </si>
  <si>
    <t>CLM100515</t>
  </si>
  <si>
    <t>CLM100516</t>
  </si>
  <si>
    <t>CLM100517</t>
  </si>
  <si>
    <t>CLM100518</t>
  </si>
  <si>
    <t>CLM100519</t>
  </si>
  <si>
    <t>CLM100520</t>
  </si>
  <si>
    <t>CLM100521</t>
  </si>
  <si>
    <t>CLM100522</t>
  </si>
  <si>
    <t>CLM100523</t>
  </si>
  <si>
    <t>CLM100524</t>
  </si>
  <si>
    <t>CLM100525</t>
  </si>
  <si>
    <t>CLM100526</t>
  </si>
  <si>
    <t>CLM100527</t>
  </si>
  <si>
    <t>CLM100528</t>
  </si>
  <si>
    <t>CLM100529</t>
  </si>
  <si>
    <t>CLM100530</t>
  </si>
  <si>
    <t>CLM100531</t>
  </si>
  <si>
    <t>CLM100532</t>
  </si>
  <si>
    <t>CLM100533</t>
  </si>
  <si>
    <t>CLM100534</t>
  </si>
  <si>
    <t>CLM100535</t>
  </si>
  <si>
    <t>CLM100536</t>
  </si>
  <si>
    <t>CLM100537</t>
  </si>
  <si>
    <t>CLM100538</t>
  </si>
  <si>
    <t>CLM100539</t>
  </si>
  <si>
    <t>CLM100540</t>
  </si>
  <si>
    <t>CLM100541</t>
  </si>
  <si>
    <t>CLM100542</t>
  </si>
  <si>
    <t>CLM100543</t>
  </si>
  <si>
    <t>CLM100544</t>
  </si>
  <si>
    <t>CLM100545</t>
  </si>
  <si>
    <t>CLM100546</t>
  </si>
  <si>
    <t>CLM100547</t>
  </si>
  <si>
    <t>CLM100548</t>
  </si>
  <si>
    <t>CLM100549</t>
  </si>
  <si>
    <t>CLM100550</t>
  </si>
  <si>
    <t>CLM100551</t>
  </si>
  <si>
    <t>CLM100552</t>
  </si>
  <si>
    <t>CLM100553</t>
  </si>
  <si>
    <t>CLM100554</t>
  </si>
  <si>
    <t>CLM100555</t>
  </si>
  <si>
    <t>CLM100556</t>
  </si>
  <si>
    <t>CLM100557</t>
  </si>
  <si>
    <t>CLM100558</t>
  </si>
  <si>
    <t>CLM100559</t>
  </si>
  <si>
    <t>CLM100560</t>
  </si>
  <si>
    <t>CLM100561</t>
  </si>
  <si>
    <t>CLM100562</t>
  </si>
  <si>
    <t>CLM100563</t>
  </si>
  <si>
    <t>CLM100564</t>
  </si>
  <si>
    <t>CLM100565</t>
  </si>
  <si>
    <t>CLM100566</t>
  </si>
  <si>
    <t>CLM100567</t>
  </si>
  <si>
    <t>CLM100568</t>
  </si>
  <si>
    <t>CLM100569</t>
  </si>
  <si>
    <t>CLM100570</t>
  </si>
  <si>
    <t>CLM100571</t>
  </si>
  <si>
    <t>CLM100572</t>
  </si>
  <si>
    <t>CLM100573</t>
  </si>
  <si>
    <t>CLM100574</t>
  </si>
  <si>
    <t>CLM100575</t>
  </si>
  <si>
    <t>CLM100576</t>
  </si>
  <si>
    <t>CLM100577</t>
  </si>
  <si>
    <t>CLM100578</t>
  </si>
  <si>
    <t>CLM100579</t>
  </si>
  <si>
    <t>CLM100580</t>
  </si>
  <si>
    <t>CLM100581</t>
  </si>
  <si>
    <t>CLM100582</t>
  </si>
  <si>
    <t>CLM100583</t>
  </si>
  <si>
    <t>CLM100584</t>
  </si>
  <si>
    <t>CLM100585</t>
  </si>
  <si>
    <t>CLM100586</t>
  </si>
  <si>
    <t>CLM100587</t>
  </si>
  <si>
    <t>CLM100588</t>
  </si>
  <si>
    <t>CLM100589</t>
  </si>
  <si>
    <t>CLM100590</t>
  </si>
  <si>
    <t>CLM100591</t>
  </si>
  <si>
    <t>CLM100592</t>
  </si>
  <si>
    <t>CLM100593</t>
  </si>
  <si>
    <t>CLM100594</t>
  </si>
  <si>
    <t>CLM100595</t>
  </si>
  <si>
    <t>CLM100596</t>
  </si>
  <si>
    <t>CLM100597</t>
  </si>
  <si>
    <t>CLM100598</t>
  </si>
  <si>
    <t>CLM100599</t>
  </si>
  <si>
    <t>CLM100600</t>
  </si>
  <si>
    <t>CLM100601</t>
  </si>
  <si>
    <t>CLM100602</t>
  </si>
  <si>
    <t>CLM100603</t>
  </si>
  <si>
    <t>CLM100604</t>
  </si>
  <si>
    <t>CLM100605</t>
  </si>
  <si>
    <t>CLM100606</t>
  </si>
  <si>
    <t>CLM100607</t>
  </si>
  <si>
    <t>CLM100608</t>
  </si>
  <si>
    <t>CLM100609</t>
  </si>
  <si>
    <t>CLM100610</t>
  </si>
  <si>
    <t>CLM100611</t>
  </si>
  <si>
    <t>CLM100612</t>
  </si>
  <si>
    <t>CLM100613</t>
  </si>
  <si>
    <t>CLM100614</t>
  </si>
  <si>
    <t>CLM100615</t>
  </si>
  <si>
    <t>CLM100616</t>
  </si>
  <si>
    <t>CLM100617</t>
  </si>
  <si>
    <t>CLM100618</t>
  </si>
  <si>
    <t>CLM100619</t>
  </si>
  <si>
    <t>CLM100620</t>
  </si>
  <si>
    <t>CLM100621</t>
  </si>
  <si>
    <t>CLM100622</t>
  </si>
  <si>
    <t>CLM100623</t>
  </si>
  <si>
    <t>CLM100624</t>
  </si>
  <si>
    <t>CLM100625</t>
  </si>
  <si>
    <t>CLM100626</t>
  </si>
  <si>
    <t>CLM100627</t>
  </si>
  <si>
    <t>CLM100628</t>
  </si>
  <si>
    <t>CLM100629</t>
  </si>
  <si>
    <t>CLM100630</t>
  </si>
  <si>
    <t>CLM100631</t>
  </si>
  <si>
    <t>CLM100632</t>
  </si>
  <si>
    <t>CLM100633</t>
  </si>
  <si>
    <t>CLM100634</t>
  </si>
  <si>
    <t>CLM100635</t>
  </si>
  <si>
    <t>CLM100636</t>
  </si>
  <si>
    <t>CLM100637</t>
  </si>
  <si>
    <t>CLM100638</t>
  </si>
  <si>
    <t>CLM100639</t>
  </si>
  <si>
    <t>CLM100640</t>
  </si>
  <si>
    <t>CLM100641</t>
  </si>
  <si>
    <t>CLM100642</t>
  </si>
  <si>
    <t>CLM100643</t>
  </si>
  <si>
    <t>CLM100644</t>
  </si>
  <si>
    <t>CLM100645</t>
  </si>
  <si>
    <t>CLM100646</t>
  </si>
  <si>
    <t>CLM100647</t>
  </si>
  <si>
    <t>CLM100648</t>
  </si>
  <si>
    <t>CLM100649</t>
  </si>
  <si>
    <t>CLM100650</t>
  </si>
  <si>
    <t>CLM100651</t>
  </si>
  <si>
    <t>CLM100652</t>
  </si>
  <si>
    <t>CLM100653</t>
  </si>
  <si>
    <t>CLM100654</t>
  </si>
  <si>
    <t>CLM100655</t>
  </si>
  <si>
    <t>CLM100656</t>
  </si>
  <si>
    <t>CLM100657</t>
  </si>
  <si>
    <t>CLM100658</t>
  </si>
  <si>
    <t>CLM100659</t>
  </si>
  <si>
    <t>CLM100660</t>
  </si>
  <si>
    <t>CLM100661</t>
  </si>
  <si>
    <t>CLM100662</t>
  </si>
  <si>
    <t>CLM100663</t>
  </si>
  <si>
    <t>CLM100664</t>
  </si>
  <si>
    <t>CLM100665</t>
  </si>
  <si>
    <t>CLM100666</t>
  </si>
  <si>
    <t>CLM100667</t>
  </si>
  <si>
    <t>CLM100668</t>
  </si>
  <si>
    <t>CLM100669</t>
  </si>
  <si>
    <t>CLM100670</t>
  </si>
  <si>
    <t>CLM100671</t>
  </si>
  <si>
    <t>CLM100672</t>
  </si>
  <si>
    <t>CLM100673</t>
  </si>
  <si>
    <t>CLM100674</t>
  </si>
  <si>
    <t>CLM100675</t>
  </si>
  <si>
    <t>CLM100676</t>
  </si>
  <si>
    <t>CLM100677</t>
  </si>
  <si>
    <t>CLM100678</t>
  </si>
  <si>
    <t>CLM100679</t>
  </si>
  <si>
    <t>CLM100680</t>
  </si>
  <si>
    <t>CLM100681</t>
  </si>
  <si>
    <t>CLM100682</t>
  </si>
  <si>
    <t>CLM100683</t>
  </si>
  <si>
    <t>CLM100684</t>
  </si>
  <si>
    <t>CLM100685</t>
  </si>
  <si>
    <t>CLM100686</t>
  </si>
  <si>
    <t>CLM100687</t>
  </si>
  <si>
    <t>CLM100688</t>
  </si>
  <si>
    <t>CLM100689</t>
  </si>
  <si>
    <t>CLM100690</t>
  </si>
  <si>
    <t>CLM100691</t>
  </si>
  <si>
    <t>CLM100692</t>
  </si>
  <si>
    <t>CLM100693</t>
  </si>
  <si>
    <t>CLM100694</t>
  </si>
  <si>
    <t>CLM100695</t>
  </si>
  <si>
    <t>CLM100696</t>
  </si>
  <si>
    <t>CLM100697</t>
  </si>
  <si>
    <t>CLM100698</t>
  </si>
  <si>
    <t>CLM100699</t>
  </si>
  <si>
    <t>CLM100700</t>
  </si>
  <si>
    <t>CLM100701</t>
  </si>
  <si>
    <t>CLM100702</t>
  </si>
  <si>
    <t>CLM100703</t>
  </si>
  <si>
    <t>CLM100704</t>
  </si>
  <si>
    <t>CLM100705</t>
  </si>
  <si>
    <t>CLM100706</t>
  </si>
  <si>
    <t>CLM100707</t>
  </si>
  <si>
    <t>CLM100708</t>
  </si>
  <si>
    <t>CLM100709</t>
  </si>
  <si>
    <t>CLM100710</t>
  </si>
  <si>
    <t>CLM100711</t>
  </si>
  <si>
    <t>CLM100712</t>
  </si>
  <si>
    <t>CLM100713</t>
  </si>
  <si>
    <t>CLM100714</t>
  </si>
  <si>
    <t>CLM100715</t>
  </si>
  <si>
    <t>CLM100716</t>
  </si>
  <si>
    <t>CLM100717</t>
  </si>
  <si>
    <t>CLM100718</t>
  </si>
  <si>
    <t>CLM100719</t>
  </si>
  <si>
    <t>CLM100720</t>
  </si>
  <si>
    <t>CLM100721</t>
  </si>
  <si>
    <t>CLM100722</t>
  </si>
  <si>
    <t>CLM100723</t>
  </si>
  <si>
    <t>CLM100724</t>
  </si>
  <si>
    <t>CLM100725</t>
  </si>
  <si>
    <t>CLM100726</t>
  </si>
  <si>
    <t>CLM100727</t>
  </si>
  <si>
    <t>CLM100728</t>
  </si>
  <si>
    <t>CLM100729</t>
  </si>
  <si>
    <t>CLM100730</t>
  </si>
  <si>
    <t>CLM100731</t>
  </si>
  <si>
    <t>CLM100732</t>
  </si>
  <si>
    <t>CLM100733</t>
  </si>
  <si>
    <t>CLM100734</t>
  </si>
  <si>
    <t>CLM100735</t>
  </si>
  <si>
    <t>CLM100736</t>
  </si>
  <si>
    <t>CLM100737</t>
  </si>
  <si>
    <t>CLM100738</t>
  </si>
  <si>
    <t>CLM100739</t>
  </si>
  <si>
    <t>CLM100740</t>
  </si>
  <si>
    <t>CLM100741</t>
  </si>
  <si>
    <t>CLM100742</t>
  </si>
  <si>
    <t>CLM100743</t>
  </si>
  <si>
    <t>CLM100744</t>
  </si>
  <si>
    <t>CLM100745</t>
  </si>
  <si>
    <t>CLM100746</t>
  </si>
  <si>
    <t>CLM100747</t>
  </si>
  <si>
    <t>CLM100748</t>
  </si>
  <si>
    <t>CLM100749</t>
  </si>
  <si>
    <t>CLM100750</t>
  </si>
  <si>
    <t>CLM100751</t>
  </si>
  <si>
    <t>CLM100752</t>
  </si>
  <si>
    <t>CLM100753</t>
  </si>
  <si>
    <t>CLM100754</t>
  </si>
  <si>
    <t>CLM100755</t>
  </si>
  <si>
    <t>CLM100756</t>
  </si>
  <si>
    <t>CLM100757</t>
  </si>
  <si>
    <t>CLM100758</t>
  </si>
  <si>
    <t>CLM100759</t>
  </si>
  <si>
    <t>CLM100760</t>
  </si>
  <si>
    <t>CLM100761</t>
  </si>
  <si>
    <t>CLM100762</t>
  </si>
  <si>
    <t>CLM100763</t>
  </si>
  <si>
    <t>CLM100764</t>
  </si>
  <si>
    <t>CLM100765</t>
  </si>
  <si>
    <t>CLM100766</t>
  </si>
  <si>
    <t>CLM100767</t>
  </si>
  <si>
    <t>CLM100768</t>
  </si>
  <si>
    <t>CLM100769</t>
  </si>
  <si>
    <t>CLM100770</t>
  </si>
  <si>
    <t>CLM100771</t>
  </si>
  <si>
    <t>CLM100772</t>
  </si>
  <si>
    <t>CLM100773</t>
  </si>
  <si>
    <t>CLM100774</t>
  </si>
  <si>
    <t>CLM100775</t>
  </si>
  <si>
    <t>CLM100776</t>
  </si>
  <si>
    <t>CLM100777</t>
  </si>
  <si>
    <t>CLM100778</t>
  </si>
  <si>
    <t>CLM100779</t>
  </si>
  <si>
    <t>CLM100780</t>
  </si>
  <si>
    <t>CLM100781</t>
  </si>
  <si>
    <t>CLM100782</t>
  </si>
  <si>
    <t>CLM100783</t>
  </si>
  <si>
    <t>CLM100784</t>
  </si>
  <si>
    <t>CLM100785</t>
  </si>
  <si>
    <t>CLM100786</t>
  </si>
  <si>
    <t>CLM100787</t>
  </si>
  <si>
    <t>CLM100788</t>
  </si>
  <si>
    <t>CLM100789</t>
  </si>
  <si>
    <t>CLM100790</t>
  </si>
  <si>
    <t>CLM100791</t>
  </si>
  <si>
    <t>CLM100792</t>
  </si>
  <si>
    <t>CLM100793</t>
  </si>
  <si>
    <t>CLM100794</t>
  </si>
  <si>
    <t>CLM100795</t>
  </si>
  <si>
    <t>CLM100796</t>
  </si>
  <si>
    <t>CLM100797</t>
  </si>
  <si>
    <t>CLM100798</t>
  </si>
  <si>
    <t>CLM100799</t>
  </si>
  <si>
    <t>CLM100800</t>
  </si>
  <si>
    <t>CLM100801</t>
  </si>
  <si>
    <t>CLM100802</t>
  </si>
  <si>
    <t>CLM100803</t>
  </si>
  <si>
    <t>CLM100804</t>
  </si>
  <si>
    <t>CLM100805</t>
  </si>
  <si>
    <t>CLM100806</t>
  </si>
  <si>
    <t>CLM100807</t>
  </si>
  <si>
    <t>CLM100808</t>
  </si>
  <si>
    <t>CLM100809</t>
  </si>
  <si>
    <t>CLM100810</t>
  </si>
  <si>
    <t>CLM100811</t>
  </si>
  <si>
    <t>CLM100812</t>
  </si>
  <si>
    <t>CLM100813</t>
  </si>
  <si>
    <t>CLM100814</t>
  </si>
  <si>
    <t>CLM100815</t>
  </si>
  <si>
    <t>CLM100816</t>
  </si>
  <si>
    <t>CLM100817</t>
  </si>
  <si>
    <t>CLM100818</t>
  </si>
  <si>
    <t>CLM100819</t>
  </si>
  <si>
    <t>CLM100820</t>
  </si>
  <si>
    <t>CLM100821</t>
  </si>
  <si>
    <t>CLM100822</t>
  </si>
  <si>
    <t>CLM100823</t>
  </si>
  <si>
    <t>CLM100824</t>
  </si>
  <si>
    <t>CLM100825</t>
  </si>
  <si>
    <t>CLM100826</t>
  </si>
  <si>
    <t>CLM100827</t>
  </si>
  <si>
    <t>CLM100828</t>
  </si>
  <si>
    <t>CLM100829</t>
  </si>
  <si>
    <t>CLM100830</t>
  </si>
  <si>
    <t>CLM100831</t>
  </si>
  <si>
    <t>CLM100832</t>
  </si>
  <si>
    <t>CLM100833</t>
  </si>
  <si>
    <t>CLM100834</t>
  </si>
  <si>
    <t>CLM100835</t>
  </si>
  <si>
    <t>CLM100836</t>
  </si>
  <si>
    <t>CLM100837</t>
  </si>
  <si>
    <t>CLM100838</t>
  </si>
  <si>
    <t>CLM100839</t>
  </si>
  <si>
    <t>CLM100840</t>
  </si>
  <si>
    <t>CLM100841</t>
  </si>
  <si>
    <t>CLM100842</t>
  </si>
  <si>
    <t>CLM100843</t>
  </si>
  <si>
    <t>CLM100844</t>
  </si>
  <si>
    <t>CLM100845</t>
  </si>
  <si>
    <t>CLM100846</t>
  </si>
  <si>
    <t>CLM100847</t>
  </si>
  <si>
    <t>CLM100848</t>
  </si>
  <si>
    <t>CLM100849</t>
  </si>
  <si>
    <t>CLM100850</t>
  </si>
  <si>
    <t>CLM100851</t>
  </si>
  <si>
    <t>CLM100852</t>
  </si>
  <si>
    <t>CLM100853</t>
  </si>
  <si>
    <t>CLM100854</t>
  </si>
  <si>
    <t>CLM100855</t>
  </si>
  <si>
    <t>CLM100856</t>
  </si>
  <si>
    <t>CLM100857</t>
  </si>
  <si>
    <t>CLM100858</t>
  </si>
  <si>
    <t>CLM100859</t>
  </si>
  <si>
    <t>CLM100860</t>
  </si>
  <si>
    <t>CLM100861</t>
  </si>
  <si>
    <t>CLM100862</t>
  </si>
  <si>
    <t>CLM100863</t>
  </si>
  <si>
    <t>CLM100864</t>
  </si>
  <si>
    <t>CLM100865</t>
  </si>
  <si>
    <t>CLM100866</t>
  </si>
  <si>
    <t>CLM100867</t>
  </si>
  <si>
    <t>CLM100868</t>
  </si>
  <si>
    <t>CLM100869</t>
  </si>
  <si>
    <t>CLM100870</t>
  </si>
  <si>
    <t>CLM100871</t>
  </si>
  <si>
    <t>CLM100872</t>
  </si>
  <si>
    <t>CLM100873</t>
  </si>
  <si>
    <t>CLM100874</t>
  </si>
  <si>
    <t>CLM100875</t>
  </si>
  <si>
    <t>CLM100876</t>
  </si>
  <si>
    <t>CLM100877</t>
  </si>
  <si>
    <t>CLM100878</t>
  </si>
  <si>
    <t>CLM100879</t>
  </si>
  <si>
    <t>CLM100880</t>
  </si>
  <si>
    <t>CLM100881</t>
  </si>
  <si>
    <t>CLM100882</t>
  </si>
  <si>
    <t>CLM100883</t>
  </si>
  <si>
    <t>CLM100884</t>
  </si>
  <si>
    <t>CLM100885</t>
  </si>
  <si>
    <t>CLM100886</t>
  </si>
  <si>
    <t>CLM100887</t>
  </si>
  <si>
    <t>CLM100888</t>
  </si>
  <si>
    <t>CLM100889</t>
  </si>
  <si>
    <t>CLM100890</t>
  </si>
  <si>
    <t>CLM100891</t>
  </si>
  <si>
    <t>CLM100892</t>
  </si>
  <si>
    <t>CLM100893</t>
  </si>
  <si>
    <t>CLM100894</t>
  </si>
  <si>
    <t>CLM100895</t>
  </si>
  <si>
    <t>CLM100896</t>
  </si>
  <si>
    <t>CLM100897</t>
  </si>
  <si>
    <t>CLM100898</t>
  </si>
  <si>
    <t>CLM100899</t>
  </si>
  <si>
    <t>CLM100900</t>
  </si>
  <si>
    <t>CLM100901</t>
  </si>
  <si>
    <t>CLM100902</t>
  </si>
  <si>
    <t>CLM100903</t>
  </si>
  <si>
    <t>CLM100904</t>
  </si>
  <si>
    <t>CLM100905</t>
  </si>
  <si>
    <t>CLM100906</t>
  </si>
  <si>
    <t>CLM100907</t>
  </si>
  <si>
    <t>CLM100908</t>
  </si>
  <si>
    <t>CLM100909</t>
  </si>
  <si>
    <t>CLM100910</t>
  </si>
  <si>
    <t>CLM100911</t>
  </si>
  <si>
    <t>CLM100912</t>
  </si>
  <si>
    <t>CLM100913</t>
  </si>
  <si>
    <t>CLM100914</t>
  </si>
  <si>
    <t>CLM100915</t>
  </si>
  <si>
    <t>CLM100916</t>
  </si>
  <si>
    <t>CLM100917</t>
  </si>
  <si>
    <t>CLM100918</t>
  </si>
  <si>
    <t>CLM100919</t>
  </si>
  <si>
    <t>CLM100920</t>
  </si>
  <si>
    <t>CLM100921</t>
  </si>
  <si>
    <t>CLM100922</t>
  </si>
  <si>
    <t>CLM100923</t>
  </si>
  <si>
    <t>CLM100924</t>
  </si>
  <si>
    <t>CLM100925</t>
  </si>
  <si>
    <t>CLM100926</t>
  </si>
  <si>
    <t>CLM100927</t>
  </si>
  <si>
    <t>CLM100928</t>
  </si>
  <si>
    <t>CLM100929</t>
  </si>
  <si>
    <t>CLM100930</t>
  </si>
  <si>
    <t>CLM100931</t>
  </si>
  <si>
    <t>CLM100932</t>
  </si>
  <si>
    <t>CLM100933</t>
  </si>
  <si>
    <t>CLM100934</t>
  </si>
  <si>
    <t>CLM100935</t>
  </si>
  <si>
    <t>CLM100936</t>
  </si>
  <si>
    <t>CLM100937</t>
  </si>
  <si>
    <t>CLM100938</t>
  </si>
  <si>
    <t>CLM100939</t>
  </si>
  <si>
    <t>CLM100940</t>
  </si>
  <si>
    <t>CLM100941</t>
  </si>
  <si>
    <t>CLM100942</t>
  </si>
  <si>
    <t>CLM100943</t>
  </si>
  <si>
    <t>CLM100944</t>
  </si>
  <si>
    <t>CLM100945</t>
  </si>
  <si>
    <t>CLM100946</t>
  </si>
  <si>
    <t>CLM100947</t>
  </si>
  <si>
    <t>CLM100948</t>
  </si>
  <si>
    <t>CLM100949</t>
  </si>
  <si>
    <t>CLM100950</t>
  </si>
  <si>
    <t>CLM100951</t>
  </si>
  <si>
    <t>CLM100952</t>
  </si>
  <si>
    <t>CLM100953</t>
  </si>
  <si>
    <t>CLM100954</t>
  </si>
  <si>
    <t>CLM100955</t>
  </si>
  <si>
    <t>CLM100956</t>
  </si>
  <si>
    <t>CLM100957</t>
  </si>
  <si>
    <t>CLM100958</t>
  </si>
  <si>
    <t>CLM100959</t>
  </si>
  <si>
    <t>CLM100960</t>
  </si>
  <si>
    <t>CLM100961</t>
  </si>
  <si>
    <t>CLM100962</t>
  </si>
  <si>
    <t>CLM100963</t>
  </si>
  <si>
    <t>CLM100964</t>
  </si>
  <si>
    <t>CLM100965</t>
  </si>
  <si>
    <t>CLM100966</t>
  </si>
  <si>
    <t>CLM100967</t>
  </si>
  <si>
    <t>CLM100968</t>
  </si>
  <si>
    <t>CLM100969</t>
  </si>
  <si>
    <t>CLM100970</t>
  </si>
  <si>
    <t>CLM100971</t>
  </si>
  <si>
    <t>CLM100972</t>
  </si>
  <si>
    <t>CLM100973</t>
  </si>
  <si>
    <t>CLM100974</t>
  </si>
  <si>
    <t>CLM100975</t>
  </si>
  <si>
    <t>CLM100976</t>
  </si>
  <si>
    <t>CLM100977</t>
  </si>
  <si>
    <t>CLM100978</t>
  </si>
  <si>
    <t>CLM100979</t>
  </si>
  <si>
    <t>CLM100980</t>
  </si>
  <si>
    <t>CLM100981</t>
  </si>
  <si>
    <t>CLM100982</t>
  </si>
  <si>
    <t>CLM100983</t>
  </si>
  <si>
    <t>CLM100984</t>
  </si>
  <si>
    <t>CLM100985</t>
  </si>
  <si>
    <t>CLM100986</t>
  </si>
  <si>
    <t>CLM100987</t>
  </si>
  <si>
    <t>CLM100988</t>
  </si>
  <si>
    <t>CLM100989</t>
  </si>
  <si>
    <t>CLM100990</t>
  </si>
  <si>
    <t>CLM100991</t>
  </si>
  <si>
    <t>CLM100992</t>
  </si>
  <si>
    <t>CLM100993</t>
  </si>
  <si>
    <t>CLM100994</t>
  </si>
  <si>
    <t>CLM100995</t>
  </si>
  <si>
    <t>CLM100996</t>
  </si>
  <si>
    <t>CLM100997</t>
  </si>
  <si>
    <t>CLM100998</t>
  </si>
  <si>
    <t>CLM100999</t>
  </si>
  <si>
    <t>CLM101000</t>
  </si>
  <si>
    <t>CLM101001</t>
  </si>
  <si>
    <t>CLM101002</t>
  </si>
  <si>
    <t>CLM101003</t>
  </si>
  <si>
    <t>CLM101004</t>
  </si>
  <si>
    <t>CLM101005</t>
  </si>
  <si>
    <t>CLM101006</t>
  </si>
  <si>
    <t>CLM101007</t>
  </si>
  <si>
    <t>CLM101008</t>
  </si>
  <si>
    <t>CLM101009</t>
  </si>
  <si>
    <t>CLM101010</t>
  </si>
  <si>
    <t>CLM101011</t>
  </si>
  <si>
    <t>CLM101012</t>
  </si>
  <si>
    <t>CLM101013</t>
  </si>
  <si>
    <t>CLM101014</t>
  </si>
  <si>
    <t>CLM101015</t>
  </si>
  <si>
    <t>CLM101016</t>
  </si>
  <si>
    <t>CLM101017</t>
  </si>
  <si>
    <t>CLM101018</t>
  </si>
  <si>
    <t>CLM101019</t>
  </si>
  <si>
    <t>CLM101020</t>
  </si>
  <si>
    <t>CLM101021</t>
  </si>
  <si>
    <t>CLM101022</t>
  </si>
  <si>
    <t>CLM101023</t>
  </si>
  <si>
    <t>CLM101024</t>
  </si>
  <si>
    <t>CLM101025</t>
  </si>
  <si>
    <t>CLM101026</t>
  </si>
  <si>
    <t>CLM101027</t>
  </si>
  <si>
    <t>CLM101028</t>
  </si>
  <si>
    <t>CLM101029</t>
  </si>
  <si>
    <t>CLM101030</t>
  </si>
  <si>
    <t>CLM101031</t>
  </si>
  <si>
    <t>CLM101032</t>
  </si>
  <si>
    <t>CLM101033</t>
  </si>
  <si>
    <t>CLM101034</t>
  </si>
  <si>
    <t>CLM101035</t>
  </si>
  <si>
    <t>CLM101036</t>
  </si>
  <si>
    <t>CLM101037</t>
  </si>
  <si>
    <t>CLM101038</t>
  </si>
  <si>
    <t>CLM101039</t>
  </si>
  <si>
    <t>CLM101040</t>
  </si>
  <si>
    <t>CLM101041</t>
  </si>
  <si>
    <t>CLM101042</t>
  </si>
  <si>
    <t>CLM101043</t>
  </si>
  <si>
    <t>CLM101044</t>
  </si>
  <si>
    <t>CLM101045</t>
  </si>
  <si>
    <t>CLM101046</t>
  </si>
  <si>
    <t>CLM101047</t>
  </si>
  <si>
    <t>CLM101048</t>
  </si>
  <si>
    <t>CLM101049</t>
  </si>
  <si>
    <t>CLM101050</t>
  </si>
  <si>
    <t>CLM101051</t>
  </si>
  <si>
    <t>CLM101052</t>
  </si>
  <si>
    <t>CLM101053</t>
  </si>
  <si>
    <t>CLM101054</t>
  </si>
  <si>
    <t>CLM101055</t>
  </si>
  <si>
    <t>CLM101056</t>
  </si>
  <si>
    <t>CLM101057</t>
  </si>
  <si>
    <t>CLM101058</t>
  </si>
  <si>
    <t>CLM101059</t>
  </si>
  <si>
    <t>CLM101060</t>
  </si>
  <si>
    <t>CLM101061</t>
  </si>
  <si>
    <t>CLM101062</t>
  </si>
  <si>
    <t>CLM101063</t>
  </si>
  <si>
    <t>CLM101064</t>
  </si>
  <si>
    <t>CLM101065</t>
  </si>
  <si>
    <t>CLM101066</t>
  </si>
  <si>
    <t>CLM101067</t>
  </si>
  <si>
    <t>CLM101068</t>
  </si>
  <si>
    <t>CLM101069</t>
  </si>
  <si>
    <t>CLM101070</t>
  </si>
  <si>
    <t>CLM101071</t>
  </si>
  <si>
    <t>CLM101072</t>
  </si>
  <si>
    <t>CLM101073</t>
  </si>
  <si>
    <t>CLM101074</t>
  </si>
  <si>
    <t>CLM101075</t>
  </si>
  <si>
    <t>CLM101076</t>
  </si>
  <si>
    <t>CLM101077</t>
  </si>
  <si>
    <t>CLM101078</t>
  </si>
  <si>
    <t>CLM101079</t>
  </si>
  <si>
    <t>CLM101080</t>
  </si>
  <si>
    <t>CLM101081</t>
  </si>
  <si>
    <t>CLM101082</t>
  </si>
  <si>
    <t>CLM101083</t>
  </si>
  <si>
    <t>CLM101084</t>
  </si>
  <si>
    <t>CLM101085</t>
  </si>
  <si>
    <t>CLM101086</t>
  </si>
  <si>
    <t>CLM101087</t>
  </si>
  <si>
    <t>CLM101088</t>
  </si>
  <si>
    <t>CLM101089</t>
  </si>
  <si>
    <t>CLM101090</t>
  </si>
  <si>
    <t>CLM101091</t>
  </si>
  <si>
    <t>CLM101092</t>
  </si>
  <si>
    <t>CLM101093</t>
  </si>
  <si>
    <t>CLM101094</t>
  </si>
  <si>
    <t>CLM101095</t>
  </si>
  <si>
    <t>CLM101096</t>
  </si>
  <si>
    <t>CLM101097</t>
  </si>
  <si>
    <t>CLM101098</t>
  </si>
  <si>
    <t>CLM101099</t>
  </si>
  <si>
    <t>CLM101100</t>
  </si>
  <si>
    <t>CLM101101</t>
  </si>
  <si>
    <t>CLM101102</t>
  </si>
  <si>
    <t>CLM101103</t>
  </si>
  <si>
    <t>CLM101104</t>
  </si>
  <si>
    <t>CLM101105</t>
  </si>
  <si>
    <t>CLM101106</t>
  </si>
  <si>
    <t>CLM101107</t>
  </si>
  <si>
    <t>CLM101108</t>
  </si>
  <si>
    <t>CLM101109</t>
  </si>
  <si>
    <t>CLM101110</t>
  </si>
  <si>
    <t>CLM101111</t>
  </si>
  <si>
    <t>CLM101112</t>
  </si>
  <si>
    <t>CLM101113</t>
  </si>
  <si>
    <t>CLM101114</t>
  </si>
  <si>
    <t>CLM101115</t>
  </si>
  <si>
    <t>CLM101116</t>
  </si>
  <si>
    <t>CLM101117</t>
  </si>
  <si>
    <t>CLM101118</t>
  </si>
  <si>
    <t>CLM101119</t>
  </si>
  <si>
    <t>CLM101120</t>
  </si>
  <si>
    <t>CLM101121</t>
  </si>
  <si>
    <t>CLM101122</t>
  </si>
  <si>
    <t>CLM101123</t>
  </si>
  <si>
    <t>CLM101124</t>
  </si>
  <si>
    <t>CLM101125</t>
  </si>
  <si>
    <t>CLM101126</t>
  </si>
  <si>
    <t>CLM101127</t>
  </si>
  <si>
    <t>CLM101128</t>
  </si>
  <si>
    <t>CLM101129</t>
  </si>
  <si>
    <t>CLM101130</t>
  </si>
  <si>
    <t>CLM101131</t>
  </si>
  <si>
    <t>CLM101132</t>
  </si>
  <si>
    <t>CLM101133</t>
  </si>
  <si>
    <t>CLM101134</t>
  </si>
  <si>
    <t>CLM101135</t>
  </si>
  <si>
    <t>CLM101136</t>
  </si>
  <si>
    <t>CLM101137</t>
  </si>
  <si>
    <t>CLM101138</t>
  </si>
  <si>
    <t>CLM101139</t>
  </si>
  <si>
    <t>CLM101140</t>
  </si>
  <si>
    <t>CLM101141</t>
  </si>
  <si>
    <t>CLM101142</t>
  </si>
  <si>
    <t>CLM101143</t>
  </si>
  <si>
    <t>CLM101144</t>
  </si>
  <si>
    <t>CLM101145</t>
  </si>
  <si>
    <t>CLM101146</t>
  </si>
  <si>
    <t>CLM101147</t>
  </si>
  <si>
    <t>CLM101148</t>
  </si>
  <si>
    <t>CLM101149</t>
  </si>
  <si>
    <t>CLM101150</t>
  </si>
  <si>
    <t>CLM101151</t>
  </si>
  <si>
    <t>CLM101152</t>
  </si>
  <si>
    <t>CLM101153</t>
  </si>
  <si>
    <t>CLM101154</t>
  </si>
  <si>
    <t>CLM101155</t>
  </si>
  <si>
    <t>CLM101156</t>
  </si>
  <si>
    <t>CLM101157</t>
  </si>
  <si>
    <t>CLM101158</t>
  </si>
  <si>
    <t>CLM101159</t>
  </si>
  <si>
    <t>CLM101160</t>
  </si>
  <si>
    <t>CLM101161</t>
  </si>
  <si>
    <t>CLM101162</t>
  </si>
  <si>
    <t>CLM101163</t>
  </si>
  <si>
    <t>CLM101164</t>
  </si>
  <si>
    <t>CLM101165</t>
  </si>
  <si>
    <t>CLM101166</t>
  </si>
  <si>
    <t>CLM101167</t>
  </si>
  <si>
    <t>CLM101168</t>
  </si>
  <si>
    <t>CLM101169</t>
  </si>
  <si>
    <t>CLM101170</t>
  </si>
  <si>
    <t>CLM101171</t>
  </si>
  <si>
    <t>CLM101172</t>
  </si>
  <si>
    <t>CLM101173</t>
  </si>
  <si>
    <t>CLM101174</t>
  </si>
  <si>
    <t>CLM101175</t>
  </si>
  <si>
    <t>CLM101176</t>
  </si>
  <si>
    <t>CLM101177</t>
  </si>
  <si>
    <t>CLM101178</t>
  </si>
  <si>
    <t>CLM101179</t>
  </si>
  <si>
    <t>CLM101180</t>
  </si>
  <si>
    <t>CLM101181</t>
  </si>
  <si>
    <t>CLM101182</t>
  </si>
  <si>
    <t>CLM101183</t>
  </si>
  <si>
    <t>CLM101184</t>
  </si>
  <si>
    <t>CLM101185</t>
  </si>
  <si>
    <t>CLM101186</t>
  </si>
  <si>
    <t>CLM101187</t>
  </si>
  <si>
    <t>CLM101188</t>
  </si>
  <si>
    <t>CLM101189</t>
  </si>
  <si>
    <t>CLM101190</t>
  </si>
  <si>
    <t>CLM101191</t>
  </si>
  <si>
    <t>CLM101192</t>
  </si>
  <si>
    <t>CLM101193</t>
  </si>
  <si>
    <t>CLM101194</t>
  </si>
  <si>
    <t>CLM101195</t>
  </si>
  <si>
    <t>CLM101196</t>
  </si>
  <si>
    <t>CLM101197</t>
  </si>
  <si>
    <t>CLM101198</t>
  </si>
  <si>
    <t>CLM101199</t>
  </si>
  <si>
    <t>CLM101200</t>
  </si>
  <si>
    <t>CLM101201</t>
  </si>
  <si>
    <t>CLM101202</t>
  </si>
  <si>
    <t>CLM101203</t>
  </si>
  <si>
    <t>CLM101204</t>
  </si>
  <si>
    <t>CLM101205</t>
  </si>
  <si>
    <t>CLM101206</t>
  </si>
  <si>
    <t>CLM101207</t>
  </si>
  <si>
    <t>CLM101208</t>
  </si>
  <si>
    <t>CLM101209</t>
  </si>
  <si>
    <t>CLM101210</t>
  </si>
  <si>
    <t>CLM101211</t>
  </si>
  <si>
    <t>CLM101212</t>
  </si>
  <si>
    <t>CLM101213</t>
  </si>
  <si>
    <t>CLM101214</t>
  </si>
  <si>
    <t>CLM101215</t>
  </si>
  <si>
    <t>CLM101216</t>
  </si>
  <si>
    <t>CLM101217</t>
  </si>
  <si>
    <t>CLM101218</t>
  </si>
  <si>
    <t>CLM101219</t>
  </si>
  <si>
    <t>CLM101220</t>
  </si>
  <si>
    <t>CLM101221</t>
  </si>
  <si>
    <t>CLM101222</t>
  </si>
  <si>
    <t>CLM101223</t>
  </si>
  <si>
    <t>CLM101224</t>
  </si>
  <si>
    <t>CLM101225</t>
  </si>
  <si>
    <t>CLM101226</t>
  </si>
  <si>
    <t>CLM101227</t>
  </si>
  <si>
    <t>CLM101228</t>
  </si>
  <si>
    <t>CLM101229</t>
  </si>
  <si>
    <t>CLM101230</t>
  </si>
  <si>
    <t>CLM101231</t>
  </si>
  <si>
    <t>CLM101232</t>
  </si>
  <si>
    <t>CLM101233</t>
  </si>
  <si>
    <t>CLM101234</t>
  </si>
  <si>
    <t>CLM101235</t>
  </si>
  <si>
    <t>CLM101236</t>
  </si>
  <si>
    <t>CLM101237</t>
  </si>
  <si>
    <t>CLM101238</t>
  </si>
  <si>
    <t>CLM101239</t>
  </si>
  <si>
    <t>CLM101240</t>
  </si>
  <si>
    <t>CLM101241</t>
  </si>
  <si>
    <t>CLM101242</t>
  </si>
  <si>
    <t>CLM101243</t>
  </si>
  <si>
    <t>CLM101244</t>
  </si>
  <si>
    <t>CLM101245</t>
  </si>
  <si>
    <t>CLM101246</t>
  </si>
  <si>
    <t>CLM101247</t>
  </si>
  <si>
    <t>CLM101248</t>
  </si>
  <si>
    <t>CLM101249</t>
  </si>
  <si>
    <t>CLM101250</t>
  </si>
  <si>
    <t>CLM101251</t>
  </si>
  <si>
    <t>CLM101252</t>
  </si>
  <si>
    <t>CLM101253</t>
  </si>
  <si>
    <t>CLM101254</t>
  </si>
  <si>
    <t>CLM101255</t>
  </si>
  <si>
    <t>CLM101256</t>
  </si>
  <si>
    <t>CLM101257</t>
  </si>
  <si>
    <t>CLM101258</t>
  </si>
  <si>
    <t>CLM101259</t>
  </si>
  <si>
    <t>CLM101260</t>
  </si>
  <si>
    <t>CLM101261</t>
  </si>
  <si>
    <t>CLM101262</t>
  </si>
  <si>
    <t>CLM101263</t>
  </si>
  <si>
    <t>CLM101264</t>
  </si>
  <si>
    <t>CLM101265</t>
  </si>
  <si>
    <t>CLM101266</t>
  </si>
  <si>
    <t>CLM101267</t>
  </si>
  <si>
    <t>CLM101268</t>
  </si>
  <si>
    <t>CLM101269</t>
  </si>
  <si>
    <t>CLM101270</t>
  </si>
  <si>
    <t>CLM101271</t>
  </si>
  <si>
    <t>CLM101272</t>
  </si>
  <si>
    <t>CLM101273</t>
  </si>
  <si>
    <t>CLM101274</t>
  </si>
  <si>
    <t>CLM101275</t>
  </si>
  <si>
    <t>CLM101276</t>
  </si>
  <si>
    <t>CLM101277</t>
  </si>
  <si>
    <t>CLM101278</t>
  </si>
  <si>
    <t>CLM101279</t>
  </si>
  <si>
    <t>CLM101280</t>
  </si>
  <si>
    <t>CLM101281</t>
  </si>
  <si>
    <t>CLM101282</t>
  </si>
  <si>
    <t>CLM101283</t>
  </si>
  <si>
    <t>CLM101284</t>
  </si>
  <si>
    <t>CLM101285</t>
  </si>
  <si>
    <t>CLM101286</t>
  </si>
  <si>
    <t>CLM101287</t>
  </si>
  <si>
    <t>CLM101288</t>
  </si>
  <si>
    <t>CLM101289</t>
  </si>
  <si>
    <t>CLM101290</t>
  </si>
  <si>
    <t>CLM101291</t>
  </si>
  <si>
    <t>CLM101292</t>
  </si>
  <si>
    <t>CLM101293</t>
  </si>
  <si>
    <t>CLM101294</t>
  </si>
  <si>
    <t>CLM101295</t>
  </si>
  <si>
    <t>CLM101296</t>
  </si>
  <si>
    <t>CLM101297</t>
  </si>
  <si>
    <t>CLM101298</t>
  </si>
  <si>
    <t>CLM101299</t>
  </si>
  <si>
    <t>CLM101300</t>
  </si>
  <si>
    <t>CLM101301</t>
  </si>
  <si>
    <t>CLM101302</t>
  </si>
  <si>
    <t>CLM101303</t>
  </si>
  <si>
    <t>CLM101304</t>
  </si>
  <si>
    <t>CLM101305</t>
  </si>
  <si>
    <t>CLM101306</t>
  </si>
  <si>
    <t>CLM101307</t>
  </si>
  <si>
    <t>CLM101308</t>
  </si>
  <si>
    <t>CLM101309</t>
  </si>
  <si>
    <t>CLM101310</t>
  </si>
  <si>
    <t>CLM101311</t>
  </si>
  <si>
    <t>CLM101312</t>
  </si>
  <si>
    <t>CLM101313</t>
  </si>
  <si>
    <t>CLM101314</t>
  </si>
  <si>
    <t>CLM101315</t>
  </si>
  <si>
    <t>CLM101316</t>
  </si>
  <si>
    <t>CLM101317</t>
  </si>
  <si>
    <t>CLM101318</t>
  </si>
  <si>
    <t>CLM101319</t>
  </si>
  <si>
    <t>CLM101320</t>
  </si>
  <si>
    <t>CLM101321</t>
  </si>
  <si>
    <t>CLM101322</t>
  </si>
  <si>
    <t>CLM101323</t>
  </si>
  <si>
    <t>CLM101324</t>
  </si>
  <si>
    <t>CLM101325</t>
  </si>
  <si>
    <t>CLM101326</t>
  </si>
  <si>
    <t>CLM101327</t>
  </si>
  <si>
    <t>CLM101328</t>
  </si>
  <si>
    <t>CLM101329</t>
  </si>
  <si>
    <t>CLM101330</t>
  </si>
  <si>
    <t>CLM101331</t>
  </si>
  <si>
    <t>CLM101332</t>
  </si>
  <si>
    <t>CLM101333</t>
  </si>
  <si>
    <t>CLM101334</t>
  </si>
  <si>
    <t>CLM101335</t>
  </si>
  <si>
    <t>CLM101336</t>
  </si>
  <si>
    <t>CLM101337</t>
  </si>
  <si>
    <t>CLM101338</t>
  </si>
  <si>
    <t>CLM101339</t>
  </si>
  <si>
    <t>CLM101340</t>
  </si>
  <si>
    <t>CLM101341</t>
  </si>
  <si>
    <t>CLM101342</t>
  </si>
  <si>
    <t>CLM101343</t>
  </si>
  <si>
    <t>CLM101344</t>
  </si>
  <si>
    <t>CLM101345</t>
  </si>
  <si>
    <t>CLM101346</t>
  </si>
  <si>
    <t>CLM101347</t>
  </si>
  <si>
    <t>CLM101348</t>
  </si>
  <si>
    <t>CLM101349</t>
  </si>
  <si>
    <t>CLM101350</t>
  </si>
  <si>
    <t>CLM101351</t>
  </si>
  <si>
    <t>CLM101352</t>
  </si>
  <si>
    <t>CLM101353</t>
  </si>
  <si>
    <t>CLM101354</t>
  </si>
  <si>
    <t>CLM101355</t>
  </si>
  <si>
    <t>CLM101356</t>
  </si>
  <si>
    <t>CLM101357</t>
  </si>
  <si>
    <t>CLM101358</t>
  </si>
  <si>
    <t>CLM101359</t>
  </si>
  <si>
    <t>CLM101360</t>
  </si>
  <si>
    <t>CLM101361</t>
  </si>
  <si>
    <t>CLM101362</t>
  </si>
  <si>
    <t>CLM101363</t>
  </si>
  <si>
    <t>CLM101364</t>
  </si>
  <si>
    <t>CLM101365</t>
  </si>
  <si>
    <t>CLM101366</t>
  </si>
  <si>
    <t>CLM101367</t>
  </si>
  <si>
    <t>CLM101368</t>
  </si>
  <si>
    <t>CLM101369</t>
  </si>
  <si>
    <t>CLM101370</t>
  </si>
  <si>
    <t>CLM101371</t>
  </si>
  <si>
    <t>CLM101372</t>
  </si>
  <si>
    <t>CLM101373</t>
  </si>
  <si>
    <t>CLM101374</t>
  </si>
  <si>
    <t>CLM101375</t>
  </si>
  <si>
    <t>CLM101376</t>
  </si>
  <si>
    <t>CLM101377</t>
  </si>
  <si>
    <t>CLM101378</t>
  </si>
  <si>
    <t>CLM101379</t>
  </si>
  <si>
    <t>CLM101380</t>
  </si>
  <si>
    <t>CLM101381</t>
  </si>
  <si>
    <t>CLM101382</t>
  </si>
  <si>
    <t>CLM101383</t>
  </si>
  <si>
    <t>CLM101384</t>
  </si>
  <si>
    <t>CLM101385</t>
  </si>
  <si>
    <t>CLM101386</t>
  </si>
  <si>
    <t>CLM101387</t>
  </si>
  <si>
    <t>CLM101388</t>
  </si>
  <si>
    <t>CLM101389</t>
  </si>
  <si>
    <t>CLM101390</t>
  </si>
  <si>
    <t>CLM101391</t>
  </si>
  <si>
    <t>CLM101392</t>
  </si>
  <si>
    <t>CLM101393</t>
  </si>
  <si>
    <t>CLM101394</t>
  </si>
  <si>
    <t>CLM101395</t>
  </si>
  <si>
    <t>CLM101396</t>
  </si>
  <si>
    <t>CLM101397</t>
  </si>
  <si>
    <t>CLM101398</t>
  </si>
  <si>
    <t>CLM101399</t>
  </si>
  <si>
    <t>CLM101400</t>
  </si>
  <si>
    <t>CLM101401</t>
  </si>
  <si>
    <t>CLM101402</t>
  </si>
  <si>
    <t>CLM101403</t>
  </si>
  <si>
    <t>CLM101404</t>
  </si>
  <si>
    <t>CLM101405</t>
  </si>
  <si>
    <t>CLM101406</t>
  </si>
  <si>
    <t>CLM101407</t>
  </si>
  <si>
    <t>CLM101408</t>
  </si>
  <si>
    <t>CLM101409</t>
  </si>
  <si>
    <t>CLM101410</t>
  </si>
  <si>
    <t>CLM101411</t>
  </si>
  <si>
    <t>CLM101412</t>
  </si>
  <si>
    <t>CLM101413</t>
  </si>
  <si>
    <t>CLM101414</t>
  </si>
  <si>
    <t>CLM101415</t>
  </si>
  <si>
    <t>CLM101416</t>
  </si>
  <si>
    <t>CLM101417</t>
  </si>
  <si>
    <t>CLM101418</t>
  </si>
  <si>
    <t>CLM101419</t>
  </si>
  <si>
    <t>CLM101420</t>
  </si>
  <si>
    <t>CLM101421</t>
  </si>
  <si>
    <t>CLM101422</t>
  </si>
  <si>
    <t>CLM101423</t>
  </si>
  <si>
    <t>CLM101424</t>
  </si>
  <si>
    <t>CLM101425</t>
  </si>
  <si>
    <t>CLM101426</t>
  </si>
  <si>
    <t>CLM101427</t>
  </si>
  <si>
    <t>CLM101428</t>
  </si>
  <si>
    <t>CLM101429</t>
  </si>
  <si>
    <t>CLM101430</t>
  </si>
  <si>
    <t>CLM101431</t>
  </si>
  <si>
    <t>CLM101432</t>
  </si>
  <si>
    <t>CLM101433</t>
  </si>
  <si>
    <t>CLM101434</t>
  </si>
  <si>
    <t>CLM101435</t>
  </si>
  <si>
    <t>CLM101436</t>
  </si>
  <si>
    <t>CLM101437</t>
  </si>
  <si>
    <t>CLM101438</t>
  </si>
  <si>
    <t>CLM101439</t>
  </si>
  <si>
    <t>CLM101440</t>
  </si>
  <si>
    <t>CLM101441</t>
  </si>
  <si>
    <t>CLM101442</t>
  </si>
  <si>
    <t>CLM101443</t>
  </si>
  <si>
    <t>CLM101444</t>
  </si>
  <si>
    <t>CLM101445</t>
  </si>
  <si>
    <t>CLM101446</t>
  </si>
  <si>
    <t>CLM101447</t>
  </si>
  <si>
    <t>CLM101448</t>
  </si>
  <si>
    <t>CLM101449</t>
  </si>
  <si>
    <t>CLM101450</t>
  </si>
  <si>
    <t>CLM101451</t>
  </si>
  <si>
    <t>CLM101452</t>
  </si>
  <si>
    <t>CLM101453</t>
  </si>
  <si>
    <t>CLM101454</t>
  </si>
  <si>
    <t>CLM101455</t>
  </si>
  <si>
    <t>CLM101456</t>
  </si>
  <si>
    <t>CLM101457</t>
  </si>
  <si>
    <t>CLM101458</t>
  </si>
  <si>
    <t>CLM101459</t>
  </si>
  <si>
    <t>CLM101460</t>
  </si>
  <si>
    <t>CLM101461</t>
  </si>
  <si>
    <t>CLM101462</t>
  </si>
  <si>
    <t>CLM101463</t>
  </si>
  <si>
    <t>CLM101464</t>
  </si>
  <si>
    <t>CLM101465</t>
  </si>
  <si>
    <t>CLM101466</t>
  </si>
  <si>
    <t>CLM101467</t>
  </si>
  <si>
    <t>CLM101468</t>
  </si>
  <si>
    <t>CLM101469</t>
  </si>
  <si>
    <t>CLM101470</t>
  </si>
  <si>
    <t>CLM101471</t>
  </si>
  <si>
    <t>CLM101472</t>
  </si>
  <si>
    <t>CLM101473</t>
  </si>
  <si>
    <t>CLM101474</t>
  </si>
  <si>
    <t>CLM101475</t>
  </si>
  <si>
    <t>CLM101476</t>
  </si>
  <si>
    <t>CLM101477</t>
  </si>
  <si>
    <t>CLM101478</t>
  </si>
  <si>
    <t>CLM101479</t>
  </si>
  <si>
    <t>CLM101480</t>
  </si>
  <si>
    <t>CLM101481</t>
  </si>
  <si>
    <t>CLM101482</t>
  </si>
  <si>
    <t>CLM101483</t>
  </si>
  <si>
    <t>CLM101484</t>
  </si>
  <si>
    <t>CLM101485</t>
  </si>
  <si>
    <t>CLM101486</t>
  </si>
  <si>
    <t>CLM101487</t>
  </si>
  <si>
    <t>CLM101488</t>
  </si>
  <si>
    <t>CLM101489</t>
  </si>
  <si>
    <t>CLM101490</t>
  </si>
  <si>
    <t>CLM101491</t>
  </si>
  <si>
    <t>CLM101492</t>
  </si>
  <si>
    <t>CLM101493</t>
  </si>
  <si>
    <t>CLM101494</t>
  </si>
  <si>
    <t>CLM101495</t>
  </si>
  <si>
    <t>CLM101496</t>
  </si>
  <si>
    <t>CLM101497</t>
  </si>
  <si>
    <t>CLM101498</t>
  </si>
  <si>
    <t>CLM101499</t>
  </si>
  <si>
    <t>CLM101500</t>
  </si>
  <si>
    <t>KPI</t>
  </si>
  <si>
    <t>Result</t>
  </si>
  <si>
    <t>Total Claims</t>
  </si>
  <si>
    <t>Total Denied Amount</t>
  </si>
  <si>
    <t>Average Denied Amount</t>
  </si>
  <si>
    <t>Highest Denial Payer</t>
  </si>
  <si>
    <t>Most Common Denial Code</t>
  </si>
  <si>
    <t>Highest Denial Reason</t>
  </si>
  <si>
    <t>Not Appealed Claims</t>
  </si>
  <si>
    <t>Won Appeals</t>
  </si>
  <si>
    <t>Lost Appeals</t>
  </si>
  <si>
    <t>Appeal Success Rate</t>
  </si>
  <si>
    <t>Max denied amount</t>
  </si>
  <si>
    <t>Min denied amount</t>
  </si>
  <si>
    <t>Unique Payer Name</t>
  </si>
  <si>
    <t>Unique Denial code</t>
  </si>
  <si>
    <t>Row Labels</t>
  </si>
  <si>
    <t>Grand Total</t>
  </si>
  <si>
    <t>Count of Claim_ID</t>
  </si>
  <si>
    <t>Sum of Denied_Amount</t>
  </si>
  <si>
    <t>Denial Reason</t>
  </si>
  <si>
    <t>Average of Denied_Amount</t>
  </si>
  <si>
    <t>Appeal Rate</t>
  </si>
  <si>
    <t>Average of Days_To_Appeal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</si>
</sst>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4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quotePrefix="1" applyAlignment="1">
      <alignment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gar" refreshedDate="46280.911398495373" createdVersion="8" refreshedVersion="8" minRefreshableVersion="3" recordCount="1500" xr:uid="{B30686AC-D341-473E-8828-63EEAF17691F}">
  <cacheSource type="worksheet">
    <worksheetSource ref="A1:I1501" sheet="Raw_Data"/>
  </cacheSource>
  <cacheFields count="9">
    <cacheField name="Claim_ID" numFmtId="0">
      <sharedItems count="1500">
        <s v="CLM100001"/>
        <s v="CLM100002"/>
        <s v="CLM100003"/>
        <s v="CLM100004"/>
        <s v="CLM100005"/>
        <s v="CLM100006"/>
        <s v="CLM100007"/>
        <s v="CLM100008"/>
        <s v="CLM100009"/>
        <s v="CLM100010"/>
        <s v="CLM100011"/>
        <s v="CLM100012"/>
        <s v="CLM100013"/>
        <s v="CLM100014"/>
        <s v="CLM100015"/>
        <s v="CLM100016"/>
        <s v="CLM100017"/>
        <s v="CLM100018"/>
        <s v="CLM100019"/>
        <s v="CLM100020"/>
        <s v="CLM100021"/>
        <s v="CLM100022"/>
        <s v="CLM100023"/>
        <s v="CLM100024"/>
        <s v="CLM100025"/>
        <s v="CLM100026"/>
        <s v="CLM100027"/>
        <s v="CLM100028"/>
        <s v="CLM100029"/>
        <s v="CLM100030"/>
        <s v="CLM100031"/>
        <s v="CLM100032"/>
        <s v="CLM100033"/>
        <s v="CLM100034"/>
        <s v="CLM100035"/>
        <s v="CLM100036"/>
        <s v="CLM100037"/>
        <s v="CLM100038"/>
        <s v="CLM100039"/>
        <s v="CLM100040"/>
        <s v="CLM100041"/>
        <s v="CLM100042"/>
        <s v="CLM100043"/>
        <s v="CLM100044"/>
        <s v="CLM100045"/>
        <s v="CLM100046"/>
        <s v="CLM100047"/>
        <s v="CLM100048"/>
        <s v="CLM100049"/>
        <s v="CLM100050"/>
        <s v="CLM100051"/>
        <s v="CLM100052"/>
        <s v="CLM100053"/>
        <s v="CLM100054"/>
        <s v="CLM100055"/>
        <s v="CLM100056"/>
        <s v="CLM100057"/>
        <s v="CLM100058"/>
        <s v="CLM100059"/>
        <s v="CLM100060"/>
        <s v="CLM100061"/>
        <s v="CLM100062"/>
        <s v="CLM100063"/>
        <s v="CLM100064"/>
        <s v="CLM100065"/>
        <s v="CLM100066"/>
        <s v="CLM100067"/>
        <s v="CLM100068"/>
        <s v="CLM100069"/>
        <s v="CLM100070"/>
        <s v="CLM100071"/>
        <s v="CLM100072"/>
        <s v="CLM100073"/>
        <s v="CLM100074"/>
        <s v="CLM100075"/>
        <s v="CLM100076"/>
        <s v="CLM100077"/>
        <s v="CLM100078"/>
        <s v="CLM100079"/>
        <s v="CLM100080"/>
        <s v="CLM100081"/>
        <s v="CLM100082"/>
        <s v="CLM100083"/>
        <s v="CLM100084"/>
        <s v="CLM100085"/>
        <s v="CLM100086"/>
        <s v="CLM100087"/>
        <s v="CLM100088"/>
        <s v="CLM100089"/>
        <s v="CLM100090"/>
        <s v="CLM100091"/>
        <s v="CLM100092"/>
        <s v="CLM100093"/>
        <s v="CLM100094"/>
        <s v="CLM100095"/>
        <s v="CLM100096"/>
        <s v="CLM100097"/>
        <s v="CLM100098"/>
        <s v="CLM100099"/>
        <s v="CLM100100"/>
        <s v="CLM100101"/>
        <s v="CLM100102"/>
        <s v="CLM100103"/>
        <s v="CLM100104"/>
        <s v="CLM100105"/>
        <s v="CLM100106"/>
        <s v="CLM100107"/>
        <s v="CLM100108"/>
        <s v="CLM100109"/>
        <s v="CLM100110"/>
        <s v="CLM100111"/>
        <s v="CLM100112"/>
        <s v="CLM100113"/>
        <s v="CLM100114"/>
        <s v="CLM100115"/>
        <s v="CLM100116"/>
        <s v="CLM100117"/>
        <s v="CLM100118"/>
        <s v="CLM100119"/>
        <s v="CLM100120"/>
        <s v="CLM100121"/>
        <s v="CLM100122"/>
        <s v="CLM100123"/>
        <s v="CLM100124"/>
        <s v="CLM100125"/>
        <s v="CLM100126"/>
        <s v="CLM100127"/>
        <s v="CLM100128"/>
        <s v="CLM100129"/>
        <s v="CLM100130"/>
        <s v="CLM100131"/>
        <s v="CLM100132"/>
        <s v="CLM100133"/>
        <s v="CLM100134"/>
        <s v="CLM100135"/>
        <s v="CLM100136"/>
        <s v="CLM100137"/>
        <s v="CLM100138"/>
        <s v="CLM100139"/>
        <s v="CLM100140"/>
        <s v="CLM100141"/>
        <s v="CLM100142"/>
        <s v="CLM100143"/>
        <s v="CLM100144"/>
        <s v="CLM100145"/>
        <s v="CLM100146"/>
        <s v="CLM100147"/>
        <s v="CLM100148"/>
        <s v="CLM100149"/>
        <s v="CLM100150"/>
        <s v="CLM100151"/>
        <s v="CLM100152"/>
        <s v="CLM100153"/>
        <s v="CLM100154"/>
        <s v="CLM100155"/>
        <s v="CLM100156"/>
        <s v="CLM100157"/>
        <s v="CLM100158"/>
        <s v="CLM100159"/>
        <s v="CLM100160"/>
        <s v="CLM100161"/>
        <s v="CLM100162"/>
        <s v="CLM100163"/>
        <s v="CLM100164"/>
        <s v="CLM100165"/>
        <s v="CLM100166"/>
        <s v="CLM100167"/>
        <s v="CLM100168"/>
        <s v="CLM100169"/>
        <s v="CLM100170"/>
        <s v="CLM100171"/>
        <s v="CLM100172"/>
        <s v="CLM100173"/>
        <s v="CLM100174"/>
        <s v="CLM100175"/>
        <s v="CLM100176"/>
        <s v="CLM100177"/>
        <s v="CLM100178"/>
        <s v="CLM100179"/>
        <s v="CLM100180"/>
        <s v="CLM100181"/>
        <s v="CLM100182"/>
        <s v="CLM100183"/>
        <s v="CLM100184"/>
        <s v="CLM100185"/>
        <s v="CLM100186"/>
        <s v="CLM100187"/>
        <s v="CLM100188"/>
        <s v="CLM100189"/>
        <s v="CLM100190"/>
        <s v="CLM100191"/>
        <s v="CLM100192"/>
        <s v="CLM100193"/>
        <s v="CLM100194"/>
        <s v="CLM100195"/>
        <s v="CLM100196"/>
        <s v="CLM100197"/>
        <s v="CLM100198"/>
        <s v="CLM100199"/>
        <s v="CLM100200"/>
        <s v="CLM100201"/>
        <s v="CLM100202"/>
        <s v="CLM100203"/>
        <s v="CLM100204"/>
        <s v="CLM100205"/>
        <s v="CLM100206"/>
        <s v="CLM100207"/>
        <s v="CLM100208"/>
        <s v="CLM100209"/>
        <s v="CLM100210"/>
        <s v="CLM100211"/>
        <s v="CLM100212"/>
        <s v="CLM100213"/>
        <s v="CLM100214"/>
        <s v="CLM100215"/>
        <s v="CLM100216"/>
        <s v="CLM100217"/>
        <s v="CLM100218"/>
        <s v="CLM100219"/>
        <s v="CLM100220"/>
        <s v="CLM100221"/>
        <s v="CLM100222"/>
        <s v="CLM100223"/>
        <s v="CLM100224"/>
        <s v="CLM100225"/>
        <s v="CLM100226"/>
        <s v="CLM100227"/>
        <s v="CLM100228"/>
        <s v="CLM100229"/>
        <s v="CLM100230"/>
        <s v="CLM100231"/>
        <s v="CLM100232"/>
        <s v="CLM100233"/>
        <s v="CLM100234"/>
        <s v="CLM100235"/>
        <s v="CLM100236"/>
        <s v="CLM100237"/>
        <s v="CLM100238"/>
        <s v="CLM100239"/>
        <s v="CLM100240"/>
        <s v="CLM100241"/>
        <s v="CLM100242"/>
        <s v="CLM100243"/>
        <s v="CLM100244"/>
        <s v="CLM100245"/>
        <s v="CLM100246"/>
        <s v="CLM100247"/>
        <s v="CLM100248"/>
        <s v="CLM100249"/>
        <s v="CLM100250"/>
        <s v="CLM100251"/>
        <s v="CLM100252"/>
        <s v="CLM100253"/>
        <s v="CLM100254"/>
        <s v="CLM100255"/>
        <s v="CLM100256"/>
        <s v="CLM100257"/>
        <s v="CLM100258"/>
        <s v="CLM100259"/>
        <s v="CLM100260"/>
        <s v="CLM100261"/>
        <s v="CLM100262"/>
        <s v="CLM100263"/>
        <s v="CLM100264"/>
        <s v="CLM100265"/>
        <s v="CLM100266"/>
        <s v="CLM100267"/>
        <s v="CLM100268"/>
        <s v="CLM100269"/>
        <s v="CLM100270"/>
        <s v="CLM100271"/>
        <s v="CLM100272"/>
        <s v="CLM100273"/>
        <s v="CLM100274"/>
        <s v="CLM100275"/>
        <s v="CLM100276"/>
        <s v="CLM100277"/>
        <s v="CLM100278"/>
        <s v="CLM100279"/>
        <s v="CLM100280"/>
        <s v="CLM100281"/>
        <s v="CLM100282"/>
        <s v="CLM100283"/>
        <s v="CLM100284"/>
        <s v="CLM100285"/>
        <s v="CLM100286"/>
        <s v="CLM100287"/>
        <s v="CLM100288"/>
        <s v="CLM100289"/>
        <s v="CLM100290"/>
        <s v="CLM100291"/>
        <s v="CLM100292"/>
        <s v="CLM100293"/>
        <s v="CLM100294"/>
        <s v="CLM100295"/>
        <s v="CLM100296"/>
        <s v="CLM100297"/>
        <s v="CLM100298"/>
        <s v="CLM100299"/>
        <s v="CLM100300"/>
        <s v="CLM100301"/>
        <s v="CLM100302"/>
        <s v="CLM100303"/>
        <s v="CLM100304"/>
        <s v="CLM100305"/>
        <s v="CLM100306"/>
        <s v="CLM100307"/>
        <s v="CLM100308"/>
        <s v="CLM100309"/>
        <s v="CLM100310"/>
        <s v="CLM100311"/>
        <s v="CLM100312"/>
        <s v="CLM100313"/>
        <s v="CLM100314"/>
        <s v="CLM100315"/>
        <s v="CLM100316"/>
        <s v="CLM100317"/>
        <s v="CLM100318"/>
        <s v="CLM100319"/>
        <s v="CLM100320"/>
        <s v="CLM100321"/>
        <s v="CLM100322"/>
        <s v="CLM100323"/>
        <s v="CLM100324"/>
        <s v="CLM100325"/>
        <s v="CLM100326"/>
        <s v="CLM100327"/>
        <s v="CLM100328"/>
        <s v="CLM100329"/>
        <s v="CLM100330"/>
        <s v="CLM100331"/>
        <s v="CLM100332"/>
        <s v="CLM100333"/>
        <s v="CLM100334"/>
        <s v="CLM100335"/>
        <s v="CLM100336"/>
        <s v="CLM100337"/>
        <s v="CLM100338"/>
        <s v="CLM100339"/>
        <s v="CLM100340"/>
        <s v="CLM100341"/>
        <s v="CLM100342"/>
        <s v="CLM100343"/>
        <s v="CLM100344"/>
        <s v="CLM100345"/>
        <s v="CLM100346"/>
        <s v="CLM100347"/>
        <s v="CLM100348"/>
        <s v="CLM100349"/>
        <s v="CLM100350"/>
        <s v="CLM100351"/>
        <s v="CLM100352"/>
        <s v="CLM100353"/>
        <s v="CLM100354"/>
        <s v="CLM100355"/>
        <s v="CLM100356"/>
        <s v="CLM100357"/>
        <s v="CLM100358"/>
        <s v="CLM100359"/>
        <s v="CLM100360"/>
        <s v="CLM100361"/>
        <s v="CLM100362"/>
        <s v="CLM100363"/>
        <s v="CLM100364"/>
        <s v="CLM100365"/>
        <s v="CLM100366"/>
        <s v="CLM100367"/>
        <s v="CLM100368"/>
        <s v="CLM100369"/>
        <s v="CLM100370"/>
        <s v="CLM100371"/>
        <s v="CLM100372"/>
        <s v="CLM100373"/>
        <s v="CLM100374"/>
        <s v="CLM100375"/>
        <s v="CLM100376"/>
        <s v="CLM100377"/>
        <s v="CLM100378"/>
        <s v="CLM100379"/>
        <s v="CLM100380"/>
        <s v="CLM100381"/>
        <s v="CLM100382"/>
        <s v="CLM100383"/>
        <s v="CLM100384"/>
        <s v="CLM100385"/>
        <s v="CLM100386"/>
        <s v="CLM100387"/>
        <s v="CLM100388"/>
        <s v="CLM100389"/>
        <s v="CLM100390"/>
        <s v="CLM100391"/>
        <s v="CLM100392"/>
        <s v="CLM100393"/>
        <s v="CLM100394"/>
        <s v="CLM100395"/>
        <s v="CLM100396"/>
        <s v="CLM100397"/>
        <s v="CLM100398"/>
        <s v="CLM100399"/>
        <s v="CLM100400"/>
        <s v="CLM100401"/>
        <s v="CLM100402"/>
        <s v="CLM100403"/>
        <s v="CLM100404"/>
        <s v="CLM100405"/>
        <s v="CLM100406"/>
        <s v="CLM100407"/>
        <s v="CLM100408"/>
        <s v="CLM100409"/>
        <s v="CLM100410"/>
        <s v="CLM100411"/>
        <s v="CLM100412"/>
        <s v="CLM100413"/>
        <s v="CLM100414"/>
        <s v="CLM100415"/>
        <s v="CLM100416"/>
        <s v="CLM100417"/>
        <s v="CLM100418"/>
        <s v="CLM100419"/>
        <s v="CLM100420"/>
        <s v="CLM100421"/>
        <s v="CLM100422"/>
        <s v="CLM100423"/>
        <s v="CLM100424"/>
        <s v="CLM100425"/>
        <s v="CLM100426"/>
        <s v="CLM100427"/>
        <s v="CLM100428"/>
        <s v="CLM100429"/>
        <s v="CLM100430"/>
        <s v="CLM100431"/>
        <s v="CLM100432"/>
        <s v="CLM100433"/>
        <s v="CLM100434"/>
        <s v="CLM100435"/>
        <s v="CLM100436"/>
        <s v="CLM100437"/>
        <s v="CLM100438"/>
        <s v="CLM100439"/>
        <s v="CLM100440"/>
        <s v="CLM100441"/>
        <s v="CLM100442"/>
        <s v="CLM100443"/>
        <s v="CLM100444"/>
        <s v="CLM100445"/>
        <s v="CLM100446"/>
        <s v="CLM100447"/>
        <s v="CLM100448"/>
        <s v="CLM100449"/>
        <s v="CLM100450"/>
        <s v="CLM100451"/>
        <s v="CLM100452"/>
        <s v="CLM100453"/>
        <s v="CLM100454"/>
        <s v="CLM100455"/>
        <s v="CLM100456"/>
        <s v="CLM100457"/>
        <s v="CLM100458"/>
        <s v="CLM100459"/>
        <s v="CLM100460"/>
        <s v="CLM100461"/>
        <s v="CLM100462"/>
        <s v="CLM100463"/>
        <s v="CLM100464"/>
        <s v="CLM100465"/>
        <s v="CLM100466"/>
        <s v="CLM100467"/>
        <s v="CLM100468"/>
        <s v="CLM100469"/>
        <s v="CLM100470"/>
        <s v="CLM100471"/>
        <s v="CLM100472"/>
        <s v="CLM100473"/>
        <s v="CLM100474"/>
        <s v="CLM100475"/>
        <s v="CLM100476"/>
        <s v="CLM100477"/>
        <s v="CLM100478"/>
        <s v="CLM100479"/>
        <s v="CLM100480"/>
        <s v="CLM100481"/>
        <s v="CLM100482"/>
        <s v="CLM100483"/>
        <s v="CLM100484"/>
        <s v="CLM100485"/>
        <s v="CLM100486"/>
        <s v="CLM100487"/>
        <s v="CLM100488"/>
        <s v="CLM100489"/>
        <s v="CLM100490"/>
        <s v="CLM100491"/>
        <s v="CLM100492"/>
        <s v="CLM100493"/>
        <s v="CLM100494"/>
        <s v="CLM100495"/>
        <s v="CLM100496"/>
        <s v="CLM100497"/>
        <s v="CLM100498"/>
        <s v="CLM100499"/>
        <s v="CLM100500"/>
        <s v="CLM100501"/>
        <s v="CLM100502"/>
        <s v="CLM100503"/>
        <s v="CLM100504"/>
        <s v="CLM100505"/>
        <s v="CLM100506"/>
        <s v="CLM100507"/>
        <s v="CLM100508"/>
        <s v="CLM100509"/>
        <s v="CLM100510"/>
        <s v="CLM100511"/>
        <s v="CLM100512"/>
        <s v="CLM100513"/>
        <s v="CLM100514"/>
        <s v="CLM100515"/>
        <s v="CLM100516"/>
        <s v="CLM100517"/>
        <s v="CLM100518"/>
        <s v="CLM100519"/>
        <s v="CLM100520"/>
        <s v="CLM100521"/>
        <s v="CLM100522"/>
        <s v="CLM100523"/>
        <s v="CLM100524"/>
        <s v="CLM100525"/>
        <s v="CLM100526"/>
        <s v="CLM100527"/>
        <s v="CLM100528"/>
        <s v="CLM100529"/>
        <s v="CLM100530"/>
        <s v="CLM100531"/>
        <s v="CLM100532"/>
        <s v="CLM100533"/>
        <s v="CLM100534"/>
        <s v="CLM100535"/>
        <s v="CLM100536"/>
        <s v="CLM100537"/>
        <s v="CLM100538"/>
        <s v="CLM100539"/>
        <s v="CLM100540"/>
        <s v="CLM100541"/>
        <s v="CLM100542"/>
        <s v="CLM100543"/>
        <s v="CLM100544"/>
        <s v="CLM100545"/>
        <s v="CLM100546"/>
        <s v="CLM100547"/>
        <s v="CLM100548"/>
        <s v="CLM100549"/>
        <s v="CLM100550"/>
        <s v="CLM100551"/>
        <s v="CLM100552"/>
        <s v="CLM100553"/>
        <s v="CLM100554"/>
        <s v="CLM100555"/>
        <s v="CLM100556"/>
        <s v="CLM100557"/>
        <s v="CLM100558"/>
        <s v="CLM100559"/>
        <s v="CLM100560"/>
        <s v="CLM100561"/>
        <s v="CLM100562"/>
        <s v="CLM100563"/>
        <s v="CLM100564"/>
        <s v="CLM100565"/>
        <s v="CLM100566"/>
        <s v="CLM100567"/>
        <s v="CLM100568"/>
        <s v="CLM100569"/>
        <s v="CLM100570"/>
        <s v="CLM100571"/>
        <s v="CLM100572"/>
        <s v="CLM100573"/>
        <s v="CLM100574"/>
        <s v="CLM100575"/>
        <s v="CLM100576"/>
        <s v="CLM100577"/>
        <s v="CLM100578"/>
        <s v="CLM100579"/>
        <s v="CLM100580"/>
        <s v="CLM100581"/>
        <s v="CLM100582"/>
        <s v="CLM100583"/>
        <s v="CLM100584"/>
        <s v="CLM100585"/>
        <s v="CLM100586"/>
        <s v="CLM100587"/>
        <s v="CLM100588"/>
        <s v="CLM100589"/>
        <s v="CLM100590"/>
        <s v="CLM100591"/>
        <s v="CLM100592"/>
        <s v="CLM100593"/>
        <s v="CLM100594"/>
        <s v="CLM100595"/>
        <s v="CLM100596"/>
        <s v="CLM100597"/>
        <s v="CLM100598"/>
        <s v="CLM100599"/>
        <s v="CLM100600"/>
        <s v="CLM100601"/>
        <s v="CLM100602"/>
        <s v="CLM100603"/>
        <s v="CLM100604"/>
        <s v="CLM100605"/>
        <s v="CLM100606"/>
        <s v="CLM100607"/>
        <s v="CLM100608"/>
        <s v="CLM100609"/>
        <s v="CLM100610"/>
        <s v="CLM100611"/>
        <s v="CLM100612"/>
        <s v="CLM100613"/>
        <s v="CLM100614"/>
        <s v="CLM100615"/>
        <s v="CLM100616"/>
        <s v="CLM100617"/>
        <s v="CLM100618"/>
        <s v="CLM100619"/>
        <s v="CLM100620"/>
        <s v="CLM100621"/>
        <s v="CLM100622"/>
        <s v="CLM100623"/>
        <s v="CLM100624"/>
        <s v="CLM100625"/>
        <s v="CLM100626"/>
        <s v="CLM100627"/>
        <s v="CLM100628"/>
        <s v="CLM100629"/>
        <s v="CLM100630"/>
        <s v="CLM100631"/>
        <s v="CLM100632"/>
        <s v="CLM100633"/>
        <s v="CLM100634"/>
        <s v="CLM100635"/>
        <s v="CLM100636"/>
        <s v="CLM100637"/>
        <s v="CLM100638"/>
        <s v="CLM100639"/>
        <s v="CLM100640"/>
        <s v="CLM100641"/>
        <s v="CLM100642"/>
        <s v="CLM100643"/>
        <s v="CLM100644"/>
        <s v="CLM100645"/>
        <s v="CLM100646"/>
        <s v="CLM100647"/>
        <s v="CLM100648"/>
        <s v="CLM100649"/>
        <s v="CLM100650"/>
        <s v="CLM100651"/>
        <s v="CLM100652"/>
        <s v="CLM100653"/>
        <s v="CLM100654"/>
        <s v="CLM100655"/>
        <s v="CLM100656"/>
        <s v="CLM100657"/>
        <s v="CLM100658"/>
        <s v="CLM100659"/>
        <s v="CLM100660"/>
        <s v="CLM100661"/>
        <s v="CLM100662"/>
        <s v="CLM100663"/>
        <s v="CLM100664"/>
        <s v="CLM100665"/>
        <s v="CLM100666"/>
        <s v="CLM100667"/>
        <s v="CLM100668"/>
        <s v="CLM100669"/>
        <s v="CLM100670"/>
        <s v="CLM100671"/>
        <s v="CLM100672"/>
        <s v="CLM100673"/>
        <s v="CLM100674"/>
        <s v="CLM100675"/>
        <s v="CLM100676"/>
        <s v="CLM100677"/>
        <s v="CLM100678"/>
        <s v="CLM100679"/>
        <s v="CLM100680"/>
        <s v="CLM100681"/>
        <s v="CLM100682"/>
        <s v="CLM100683"/>
        <s v="CLM100684"/>
        <s v="CLM100685"/>
        <s v="CLM100686"/>
        <s v="CLM100687"/>
        <s v="CLM100688"/>
        <s v="CLM100689"/>
        <s v="CLM100690"/>
        <s v="CLM100691"/>
        <s v="CLM100692"/>
        <s v="CLM100693"/>
        <s v="CLM100694"/>
        <s v="CLM100695"/>
        <s v="CLM100696"/>
        <s v="CLM100697"/>
        <s v="CLM100698"/>
        <s v="CLM100699"/>
        <s v="CLM100700"/>
        <s v="CLM100701"/>
        <s v="CLM100702"/>
        <s v="CLM100703"/>
        <s v="CLM100704"/>
        <s v="CLM100705"/>
        <s v="CLM100706"/>
        <s v="CLM100707"/>
        <s v="CLM100708"/>
        <s v="CLM100709"/>
        <s v="CLM100710"/>
        <s v="CLM100711"/>
        <s v="CLM100712"/>
        <s v="CLM100713"/>
        <s v="CLM100714"/>
        <s v="CLM100715"/>
        <s v="CLM100716"/>
        <s v="CLM100717"/>
        <s v="CLM100718"/>
        <s v="CLM100719"/>
        <s v="CLM100720"/>
        <s v="CLM100721"/>
        <s v="CLM100722"/>
        <s v="CLM100723"/>
        <s v="CLM100724"/>
        <s v="CLM100725"/>
        <s v="CLM100726"/>
        <s v="CLM100727"/>
        <s v="CLM100728"/>
        <s v="CLM100729"/>
        <s v="CLM100730"/>
        <s v="CLM100731"/>
        <s v="CLM100732"/>
        <s v="CLM100733"/>
        <s v="CLM100734"/>
        <s v="CLM100735"/>
        <s v="CLM100736"/>
        <s v="CLM100737"/>
        <s v="CLM100738"/>
        <s v="CLM100739"/>
        <s v="CLM100740"/>
        <s v="CLM100741"/>
        <s v="CLM100742"/>
        <s v="CLM100743"/>
        <s v="CLM100744"/>
        <s v="CLM100745"/>
        <s v="CLM100746"/>
        <s v="CLM100747"/>
        <s v="CLM100748"/>
        <s v="CLM100749"/>
        <s v="CLM100750"/>
        <s v="CLM100751"/>
        <s v="CLM100752"/>
        <s v="CLM100753"/>
        <s v="CLM100754"/>
        <s v="CLM100755"/>
        <s v="CLM100756"/>
        <s v="CLM100757"/>
        <s v="CLM100758"/>
        <s v="CLM100759"/>
        <s v="CLM100760"/>
        <s v="CLM100761"/>
        <s v="CLM100762"/>
        <s v="CLM100763"/>
        <s v="CLM100764"/>
        <s v="CLM100765"/>
        <s v="CLM100766"/>
        <s v="CLM100767"/>
        <s v="CLM100768"/>
        <s v="CLM100769"/>
        <s v="CLM100770"/>
        <s v="CLM100771"/>
        <s v="CLM100772"/>
        <s v="CLM100773"/>
        <s v="CLM100774"/>
        <s v="CLM100775"/>
        <s v="CLM100776"/>
        <s v="CLM100777"/>
        <s v="CLM100778"/>
        <s v="CLM100779"/>
        <s v="CLM100780"/>
        <s v="CLM100781"/>
        <s v="CLM100782"/>
        <s v="CLM100783"/>
        <s v="CLM100784"/>
        <s v="CLM100785"/>
        <s v="CLM100786"/>
        <s v="CLM100787"/>
        <s v="CLM100788"/>
        <s v="CLM100789"/>
        <s v="CLM100790"/>
        <s v="CLM100791"/>
        <s v="CLM100792"/>
        <s v="CLM100793"/>
        <s v="CLM100794"/>
        <s v="CLM100795"/>
        <s v="CLM100796"/>
        <s v="CLM100797"/>
        <s v="CLM100798"/>
        <s v="CLM100799"/>
        <s v="CLM100800"/>
        <s v="CLM100801"/>
        <s v="CLM100802"/>
        <s v="CLM100803"/>
        <s v="CLM100804"/>
        <s v="CLM100805"/>
        <s v="CLM100806"/>
        <s v="CLM100807"/>
        <s v="CLM100808"/>
        <s v="CLM100809"/>
        <s v="CLM100810"/>
        <s v="CLM100811"/>
        <s v="CLM100812"/>
        <s v="CLM100813"/>
        <s v="CLM100814"/>
        <s v="CLM100815"/>
        <s v="CLM100816"/>
        <s v="CLM100817"/>
        <s v="CLM100818"/>
        <s v="CLM100819"/>
        <s v="CLM100820"/>
        <s v="CLM100821"/>
        <s v="CLM100822"/>
        <s v="CLM100823"/>
        <s v="CLM100824"/>
        <s v="CLM100825"/>
        <s v="CLM100826"/>
        <s v="CLM100827"/>
        <s v="CLM100828"/>
        <s v="CLM100829"/>
        <s v="CLM100830"/>
        <s v="CLM100831"/>
        <s v="CLM100832"/>
        <s v="CLM100833"/>
        <s v="CLM100834"/>
        <s v="CLM100835"/>
        <s v="CLM100836"/>
        <s v="CLM100837"/>
        <s v="CLM100838"/>
        <s v="CLM100839"/>
        <s v="CLM100840"/>
        <s v="CLM100841"/>
        <s v="CLM100842"/>
        <s v="CLM100843"/>
        <s v="CLM100844"/>
        <s v="CLM100845"/>
        <s v="CLM100846"/>
        <s v="CLM100847"/>
        <s v="CLM100848"/>
        <s v="CLM100849"/>
        <s v="CLM100850"/>
        <s v="CLM100851"/>
        <s v="CLM100852"/>
        <s v="CLM100853"/>
        <s v="CLM100854"/>
        <s v="CLM100855"/>
        <s v="CLM100856"/>
        <s v="CLM100857"/>
        <s v="CLM100858"/>
        <s v="CLM100859"/>
        <s v="CLM100860"/>
        <s v="CLM100861"/>
        <s v="CLM100862"/>
        <s v="CLM100863"/>
        <s v="CLM100864"/>
        <s v="CLM100865"/>
        <s v="CLM100866"/>
        <s v="CLM100867"/>
        <s v="CLM100868"/>
        <s v="CLM100869"/>
        <s v="CLM100870"/>
        <s v="CLM100871"/>
        <s v="CLM100872"/>
        <s v="CLM100873"/>
        <s v="CLM100874"/>
        <s v="CLM100875"/>
        <s v="CLM100876"/>
        <s v="CLM100877"/>
        <s v="CLM100878"/>
        <s v="CLM100879"/>
        <s v="CLM100880"/>
        <s v="CLM100881"/>
        <s v="CLM100882"/>
        <s v="CLM100883"/>
        <s v="CLM100884"/>
        <s v="CLM100885"/>
        <s v="CLM100886"/>
        <s v="CLM100887"/>
        <s v="CLM100888"/>
        <s v="CLM100889"/>
        <s v="CLM100890"/>
        <s v="CLM100891"/>
        <s v="CLM100892"/>
        <s v="CLM100893"/>
        <s v="CLM100894"/>
        <s v="CLM100895"/>
        <s v="CLM100896"/>
        <s v="CLM100897"/>
        <s v="CLM100898"/>
        <s v="CLM100899"/>
        <s v="CLM100900"/>
        <s v="CLM100901"/>
        <s v="CLM100902"/>
        <s v="CLM100903"/>
        <s v="CLM100904"/>
        <s v="CLM100905"/>
        <s v="CLM100906"/>
        <s v="CLM100907"/>
        <s v="CLM100908"/>
        <s v="CLM100909"/>
        <s v="CLM100910"/>
        <s v="CLM100911"/>
        <s v="CLM100912"/>
        <s v="CLM100913"/>
        <s v="CLM100914"/>
        <s v="CLM100915"/>
        <s v="CLM100916"/>
        <s v="CLM100917"/>
        <s v="CLM100918"/>
        <s v="CLM100919"/>
        <s v="CLM100920"/>
        <s v="CLM100921"/>
        <s v="CLM100922"/>
        <s v="CLM100923"/>
        <s v="CLM100924"/>
        <s v="CLM100925"/>
        <s v="CLM100926"/>
        <s v="CLM100927"/>
        <s v="CLM100928"/>
        <s v="CLM100929"/>
        <s v="CLM100930"/>
        <s v="CLM100931"/>
        <s v="CLM100932"/>
        <s v="CLM100933"/>
        <s v="CLM100934"/>
        <s v="CLM100935"/>
        <s v="CLM100936"/>
        <s v="CLM100937"/>
        <s v="CLM100938"/>
        <s v="CLM100939"/>
        <s v="CLM100940"/>
        <s v="CLM100941"/>
        <s v="CLM100942"/>
        <s v="CLM100943"/>
        <s v="CLM100944"/>
        <s v="CLM100945"/>
        <s v="CLM100946"/>
        <s v="CLM100947"/>
        <s v="CLM100948"/>
        <s v="CLM100949"/>
        <s v="CLM100950"/>
        <s v="CLM100951"/>
        <s v="CLM100952"/>
        <s v="CLM100953"/>
        <s v="CLM100954"/>
        <s v="CLM100955"/>
        <s v="CLM100956"/>
        <s v="CLM100957"/>
        <s v="CLM100958"/>
        <s v="CLM100959"/>
        <s v="CLM100960"/>
        <s v="CLM100961"/>
        <s v="CLM100962"/>
        <s v="CLM100963"/>
        <s v="CLM100964"/>
        <s v="CLM100965"/>
        <s v="CLM100966"/>
        <s v="CLM100967"/>
        <s v="CLM100968"/>
        <s v="CLM100969"/>
        <s v="CLM100970"/>
        <s v="CLM100971"/>
        <s v="CLM100972"/>
        <s v="CLM100973"/>
        <s v="CLM100974"/>
        <s v="CLM100975"/>
        <s v="CLM100976"/>
        <s v="CLM100977"/>
        <s v="CLM100978"/>
        <s v="CLM100979"/>
        <s v="CLM100980"/>
        <s v="CLM100981"/>
        <s v="CLM100982"/>
        <s v="CLM100983"/>
        <s v="CLM100984"/>
        <s v="CLM100985"/>
        <s v="CLM100986"/>
        <s v="CLM100987"/>
        <s v="CLM100988"/>
        <s v="CLM100989"/>
        <s v="CLM100990"/>
        <s v="CLM100991"/>
        <s v="CLM100992"/>
        <s v="CLM100993"/>
        <s v="CLM100994"/>
        <s v="CLM100995"/>
        <s v="CLM100996"/>
        <s v="CLM100997"/>
        <s v="CLM100998"/>
        <s v="CLM100999"/>
        <s v="CLM101000"/>
        <s v="CLM101001"/>
        <s v="CLM101002"/>
        <s v="CLM101003"/>
        <s v="CLM101004"/>
        <s v="CLM101005"/>
        <s v="CLM101006"/>
        <s v="CLM101007"/>
        <s v="CLM101008"/>
        <s v="CLM101009"/>
        <s v="CLM101010"/>
        <s v="CLM101011"/>
        <s v="CLM101012"/>
        <s v="CLM101013"/>
        <s v="CLM101014"/>
        <s v="CLM101015"/>
        <s v="CLM101016"/>
        <s v="CLM101017"/>
        <s v="CLM101018"/>
        <s v="CLM101019"/>
        <s v="CLM101020"/>
        <s v="CLM101021"/>
        <s v="CLM101022"/>
        <s v="CLM101023"/>
        <s v="CLM101024"/>
        <s v="CLM101025"/>
        <s v="CLM101026"/>
        <s v="CLM101027"/>
        <s v="CLM101028"/>
        <s v="CLM101029"/>
        <s v="CLM101030"/>
        <s v="CLM101031"/>
        <s v="CLM101032"/>
        <s v="CLM101033"/>
        <s v="CLM101034"/>
        <s v="CLM101035"/>
        <s v="CLM101036"/>
        <s v="CLM101037"/>
        <s v="CLM101038"/>
        <s v="CLM101039"/>
        <s v="CLM101040"/>
        <s v="CLM101041"/>
        <s v="CLM101042"/>
        <s v="CLM101043"/>
        <s v="CLM101044"/>
        <s v="CLM101045"/>
        <s v="CLM101046"/>
        <s v="CLM101047"/>
        <s v="CLM101048"/>
        <s v="CLM101049"/>
        <s v="CLM101050"/>
        <s v="CLM101051"/>
        <s v="CLM101052"/>
        <s v="CLM101053"/>
        <s v="CLM101054"/>
        <s v="CLM101055"/>
        <s v="CLM101056"/>
        <s v="CLM101057"/>
        <s v="CLM101058"/>
        <s v="CLM101059"/>
        <s v="CLM101060"/>
        <s v="CLM101061"/>
        <s v="CLM101062"/>
        <s v="CLM101063"/>
        <s v="CLM101064"/>
        <s v="CLM101065"/>
        <s v="CLM101066"/>
        <s v="CLM101067"/>
        <s v="CLM101068"/>
        <s v="CLM101069"/>
        <s v="CLM101070"/>
        <s v="CLM101071"/>
        <s v="CLM101072"/>
        <s v="CLM101073"/>
        <s v="CLM101074"/>
        <s v="CLM101075"/>
        <s v="CLM101076"/>
        <s v="CLM101077"/>
        <s v="CLM101078"/>
        <s v="CLM101079"/>
        <s v="CLM101080"/>
        <s v="CLM101081"/>
        <s v="CLM101082"/>
        <s v="CLM101083"/>
        <s v="CLM101084"/>
        <s v="CLM101085"/>
        <s v="CLM101086"/>
        <s v="CLM101087"/>
        <s v="CLM101088"/>
        <s v="CLM101089"/>
        <s v="CLM101090"/>
        <s v="CLM101091"/>
        <s v="CLM101092"/>
        <s v="CLM101093"/>
        <s v="CLM101094"/>
        <s v="CLM101095"/>
        <s v="CLM101096"/>
        <s v="CLM101097"/>
        <s v="CLM101098"/>
        <s v="CLM101099"/>
        <s v="CLM101100"/>
        <s v="CLM101101"/>
        <s v="CLM101102"/>
        <s v="CLM101103"/>
        <s v="CLM101104"/>
        <s v="CLM101105"/>
        <s v="CLM101106"/>
        <s v="CLM101107"/>
        <s v="CLM101108"/>
        <s v="CLM101109"/>
        <s v="CLM101110"/>
        <s v="CLM101111"/>
        <s v="CLM101112"/>
        <s v="CLM101113"/>
        <s v="CLM101114"/>
        <s v="CLM101115"/>
        <s v="CLM101116"/>
        <s v="CLM101117"/>
        <s v="CLM101118"/>
        <s v="CLM101119"/>
        <s v="CLM101120"/>
        <s v="CLM101121"/>
        <s v="CLM101122"/>
        <s v="CLM101123"/>
        <s v="CLM101124"/>
        <s v="CLM101125"/>
        <s v="CLM101126"/>
        <s v="CLM101127"/>
        <s v="CLM101128"/>
        <s v="CLM101129"/>
        <s v="CLM101130"/>
        <s v="CLM101131"/>
        <s v="CLM101132"/>
        <s v="CLM101133"/>
        <s v="CLM101134"/>
        <s v="CLM101135"/>
        <s v="CLM101136"/>
        <s v="CLM101137"/>
        <s v="CLM101138"/>
        <s v="CLM101139"/>
        <s v="CLM101140"/>
        <s v="CLM101141"/>
        <s v="CLM101142"/>
        <s v="CLM101143"/>
        <s v="CLM101144"/>
        <s v="CLM101145"/>
        <s v="CLM101146"/>
        <s v="CLM101147"/>
        <s v="CLM101148"/>
        <s v="CLM101149"/>
        <s v="CLM101150"/>
        <s v="CLM101151"/>
        <s v="CLM101152"/>
        <s v="CLM101153"/>
        <s v="CLM101154"/>
        <s v="CLM101155"/>
        <s v="CLM101156"/>
        <s v="CLM101157"/>
        <s v="CLM101158"/>
        <s v="CLM101159"/>
        <s v="CLM101160"/>
        <s v="CLM101161"/>
        <s v="CLM101162"/>
        <s v="CLM101163"/>
        <s v="CLM101164"/>
        <s v="CLM101165"/>
        <s v="CLM101166"/>
        <s v="CLM101167"/>
        <s v="CLM101168"/>
        <s v="CLM101169"/>
        <s v="CLM101170"/>
        <s v="CLM101171"/>
        <s v="CLM101172"/>
        <s v="CLM101173"/>
        <s v="CLM101174"/>
        <s v="CLM101175"/>
        <s v="CLM101176"/>
        <s v="CLM101177"/>
        <s v="CLM101178"/>
        <s v="CLM101179"/>
        <s v="CLM101180"/>
        <s v="CLM101181"/>
        <s v="CLM101182"/>
        <s v="CLM101183"/>
        <s v="CLM101184"/>
        <s v="CLM101185"/>
        <s v="CLM101186"/>
        <s v="CLM101187"/>
        <s v="CLM101188"/>
        <s v="CLM101189"/>
        <s v="CLM101190"/>
        <s v="CLM101191"/>
        <s v="CLM101192"/>
        <s v="CLM101193"/>
        <s v="CLM101194"/>
        <s v="CLM101195"/>
        <s v="CLM101196"/>
        <s v="CLM101197"/>
        <s v="CLM101198"/>
        <s v="CLM101199"/>
        <s v="CLM101200"/>
        <s v="CLM101201"/>
        <s v="CLM101202"/>
        <s v="CLM101203"/>
        <s v="CLM101204"/>
        <s v="CLM101205"/>
        <s v="CLM101206"/>
        <s v="CLM101207"/>
        <s v="CLM101208"/>
        <s v="CLM101209"/>
        <s v="CLM101210"/>
        <s v="CLM101211"/>
        <s v="CLM101212"/>
        <s v="CLM101213"/>
        <s v="CLM101214"/>
        <s v="CLM101215"/>
        <s v="CLM101216"/>
        <s v="CLM101217"/>
        <s v="CLM101218"/>
        <s v="CLM101219"/>
        <s v="CLM101220"/>
        <s v="CLM101221"/>
        <s v="CLM101222"/>
        <s v="CLM101223"/>
        <s v="CLM101224"/>
        <s v="CLM101225"/>
        <s v="CLM101226"/>
        <s v="CLM101227"/>
        <s v="CLM101228"/>
        <s v="CLM101229"/>
        <s v="CLM101230"/>
        <s v="CLM101231"/>
        <s v="CLM101232"/>
        <s v="CLM101233"/>
        <s v="CLM101234"/>
        <s v="CLM101235"/>
        <s v="CLM101236"/>
        <s v="CLM101237"/>
        <s v="CLM101238"/>
        <s v="CLM101239"/>
        <s v="CLM101240"/>
        <s v="CLM101241"/>
        <s v="CLM101242"/>
        <s v="CLM101243"/>
        <s v="CLM101244"/>
        <s v="CLM101245"/>
        <s v="CLM101246"/>
        <s v="CLM101247"/>
        <s v="CLM101248"/>
        <s v="CLM101249"/>
        <s v="CLM101250"/>
        <s v="CLM101251"/>
        <s v="CLM101252"/>
        <s v="CLM101253"/>
        <s v="CLM101254"/>
        <s v="CLM101255"/>
        <s v="CLM101256"/>
        <s v="CLM101257"/>
        <s v="CLM101258"/>
        <s v="CLM101259"/>
        <s v="CLM101260"/>
        <s v="CLM101261"/>
        <s v="CLM101262"/>
        <s v="CLM101263"/>
        <s v="CLM101264"/>
        <s v="CLM101265"/>
        <s v="CLM101266"/>
        <s v="CLM101267"/>
        <s v="CLM101268"/>
        <s v="CLM101269"/>
        <s v="CLM101270"/>
        <s v="CLM101271"/>
        <s v="CLM101272"/>
        <s v="CLM101273"/>
        <s v="CLM101274"/>
        <s v="CLM101275"/>
        <s v="CLM101276"/>
        <s v="CLM101277"/>
        <s v="CLM101278"/>
        <s v="CLM101279"/>
        <s v="CLM101280"/>
        <s v="CLM101281"/>
        <s v="CLM101282"/>
        <s v="CLM101283"/>
        <s v="CLM101284"/>
        <s v="CLM101285"/>
        <s v="CLM101286"/>
        <s v="CLM101287"/>
        <s v="CLM101288"/>
        <s v="CLM101289"/>
        <s v="CLM101290"/>
        <s v="CLM101291"/>
        <s v="CLM101292"/>
        <s v="CLM101293"/>
        <s v="CLM101294"/>
        <s v="CLM101295"/>
        <s v="CLM101296"/>
        <s v="CLM101297"/>
        <s v="CLM101298"/>
        <s v="CLM101299"/>
        <s v="CLM101300"/>
        <s v="CLM101301"/>
        <s v="CLM101302"/>
        <s v="CLM101303"/>
        <s v="CLM101304"/>
        <s v="CLM101305"/>
        <s v="CLM101306"/>
        <s v="CLM101307"/>
        <s v="CLM101308"/>
        <s v="CLM101309"/>
        <s v="CLM101310"/>
        <s v="CLM101311"/>
        <s v="CLM101312"/>
        <s v="CLM101313"/>
        <s v="CLM101314"/>
        <s v="CLM101315"/>
        <s v="CLM101316"/>
        <s v="CLM101317"/>
        <s v="CLM101318"/>
        <s v="CLM101319"/>
        <s v="CLM101320"/>
        <s v="CLM101321"/>
        <s v="CLM101322"/>
        <s v="CLM101323"/>
        <s v="CLM101324"/>
        <s v="CLM101325"/>
        <s v="CLM101326"/>
        <s v="CLM101327"/>
        <s v="CLM101328"/>
        <s v="CLM101329"/>
        <s v="CLM101330"/>
        <s v="CLM101331"/>
        <s v="CLM101332"/>
        <s v="CLM101333"/>
        <s v="CLM101334"/>
        <s v="CLM101335"/>
        <s v="CLM101336"/>
        <s v="CLM101337"/>
        <s v="CLM101338"/>
        <s v="CLM101339"/>
        <s v="CLM101340"/>
        <s v="CLM101341"/>
        <s v="CLM101342"/>
        <s v="CLM101343"/>
        <s v="CLM101344"/>
        <s v="CLM101345"/>
        <s v="CLM101346"/>
        <s v="CLM101347"/>
        <s v="CLM101348"/>
        <s v="CLM101349"/>
        <s v="CLM101350"/>
        <s v="CLM101351"/>
        <s v="CLM101352"/>
        <s v="CLM101353"/>
        <s v="CLM101354"/>
        <s v="CLM101355"/>
        <s v="CLM101356"/>
        <s v="CLM101357"/>
        <s v="CLM101358"/>
        <s v="CLM101359"/>
        <s v="CLM101360"/>
        <s v="CLM101361"/>
        <s v="CLM101362"/>
        <s v="CLM101363"/>
        <s v="CLM101364"/>
        <s v="CLM101365"/>
        <s v="CLM101366"/>
        <s v="CLM101367"/>
        <s v="CLM101368"/>
        <s v="CLM101369"/>
        <s v="CLM101370"/>
        <s v="CLM101371"/>
        <s v="CLM101372"/>
        <s v="CLM101373"/>
        <s v="CLM101374"/>
        <s v="CLM101375"/>
        <s v="CLM101376"/>
        <s v="CLM101377"/>
        <s v="CLM101378"/>
        <s v="CLM101379"/>
        <s v="CLM101380"/>
        <s v="CLM101381"/>
        <s v="CLM101382"/>
        <s v="CLM101383"/>
        <s v="CLM101384"/>
        <s v="CLM101385"/>
        <s v="CLM101386"/>
        <s v="CLM101387"/>
        <s v="CLM101388"/>
        <s v="CLM101389"/>
        <s v="CLM101390"/>
        <s v="CLM101391"/>
        <s v="CLM101392"/>
        <s v="CLM101393"/>
        <s v="CLM101394"/>
        <s v="CLM101395"/>
        <s v="CLM101396"/>
        <s v="CLM101397"/>
        <s v="CLM101398"/>
        <s v="CLM101399"/>
        <s v="CLM101400"/>
        <s v="CLM101401"/>
        <s v="CLM101402"/>
        <s v="CLM101403"/>
        <s v="CLM101404"/>
        <s v="CLM101405"/>
        <s v="CLM101406"/>
        <s v="CLM101407"/>
        <s v="CLM101408"/>
        <s v="CLM101409"/>
        <s v="CLM101410"/>
        <s v="CLM101411"/>
        <s v="CLM101412"/>
        <s v="CLM101413"/>
        <s v="CLM101414"/>
        <s v="CLM101415"/>
        <s v="CLM101416"/>
        <s v="CLM101417"/>
        <s v="CLM101418"/>
        <s v="CLM101419"/>
        <s v="CLM101420"/>
        <s v="CLM101421"/>
        <s v="CLM101422"/>
        <s v="CLM101423"/>
        <s v="CLM101424"/>
        <s v="CLM101425"/>
        <s v="CLM101426"/>
        <s v="CLM101427"/>
        <s v="CLM101428"/>
        <s v="CLM101429"/>
        <s v="CLM101430"/>
        <s v="CLM101431"/>
        <s v="CLM101432"/>
        <s v="CLM101433"/>
        <s v="CLM101434"/>
        <s v="CLM101435"/>
        <s v="CLM101436"/>
        <s v="CLM101437"/>
        <s v="CLM101438"/>
        <s v="CLM101439"/>
        <s v="CLM101440"/>
        <s v="CLM101441"/>
        <s v="CLM101442"/>
        <s v="CLM101443"/>
        <s v="CLM101444"/>
        <s v="CLM101445"/>
        <s v="CLM101446"/>
        <s v="CLM101447"/>
        <s v="CLM101448"/>
        <s v="CLM101449"/>
        <s v="CLM101450"/>
        <s v="CLM101451"/>
        <s v="CLM101452"/>
        <s v="CLM101453"/>
        <s v="CLM101454"/>
        <s v="CLM101455"/>
        <s v="CLM101456"/>
        <s v="CLM101457"/>
        <s v="CLM101458"/>
        <s v="CLM101459"/>
        <s v="CLM101460"/>
        <s v="CLM101461"/>
        <s v="CLM101462"/>
        <s v="CLM101463"/>
        <s v="CLM101464"/>
        <s v="CLM101465"/>
        <s v="CLM101466"/>
        <s v="CLM101467"/>
        <s v="CLM101468"/>
        <s v="CLM101469"/>
        <s v="CLM101470"/>
        <s v="CLM101471"/>
        <s v="CLM101472"/>
        <s v="CLM101473"/>
        <s v="CLM101474"/>
        <s v="CLM101475"/>
        <s v="CLM101476"/>
        <s v="CLM101477"/>
        <s v="CLM101478"/>
        <s v="CLM101479"/>
        <s v="CLM101480"/>
        <s v="CLM101481"/>
        <s v="CLM101482"/>
        <s v="CLM101483"/>
        <s v="CLM101484"/>
        <s v="CLM101485"/>
        <s v="CLM101486"/>
        <s v="CLM101487"/>
        <s v="CLM101488"/>
        <s v="CLM101489"/>
        <s v="CLM101490"/>
        <s v="CLM101491"/>
        <s v="CLM101492"/>
        <s v="CLM101493"/>
        <s v="CLM101494"/>
        <s v="CLM101495"/>
        <s v="CLM101496"/>
        <s v="CLM101497"/>
        <s v="CLM101498"/>
        <s v="CLM101499"/>
        <s v="CLM101500"/>
      </sharedItems>
    </cacheField>
    <cacheField name="Payer" numFmtId="0">
      <sharedItems count="10">
        <s v="BCBS"/>
        <s v="UnitedHealthcare"/>
        <s v="Aetna"/>
        <s v="Medicare"/>
        <s v="Medicaid"/>
        <s v="Humana"/>
        <s v="Cigna"/>
        <s v="Molina"/>
        <s v="Tricare"/>
        <s v="Anthem"/>
      </sharedItems>
    </cacheField>
    <cacheField name="Unique Payer Name" numFmtId="0">
      <sharedItems containsBlank="1"/>
    </cacheField>
    <cacheField name="Denial_Code" numFmtId="0">
      <sharedItems/>
    </cacheField>
    <cacheField name="Unique Denial code" numFmtId="0">
      <sharedItems containsBlank="1"/>
    </cacheField>
    <cacheField name="Denial_Reason" numFmtId="0">
      <sharedItems count="8">
        <s v="Medical Necessity"/>
        <s v="Wrong Payer"/>
        <s v="Coding Error"/>
        <s v="Prior Auth"/>
        <s v="Eligibility"/>
        <s v="Non-Covered Service"/>
        <s v="Contractual Adjustment"/>
        <s v="Timely Filing"/>
      </sharedItems>
    </cacheField>
    <cacheField name="Denied_Amount" numFmtId="4">
      <sharedItems containsSemiMixedTypes="0" containsString="0" containsNumber="1" minValue="71.86" maxValue="14994.11"/>
    </cacheField>
    <cacheField name="Appeal_Status" numFmtId="0">
      <sharedItems count="5">
        <s v="Not Appealed"/>
        <s v="Appealed"/>
        <s v="Won"/>
        <s v="Lost"/>
        <s v="Pending"/>
      </sharedItems>
    </cacheField>
    <cacheField name="Days_To_Appeal" numFmtId="0">
      <sharedItems containsSemiMixedTypes="0" containsString="0" containsNumber="1" containsInteger="1" minValue="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x v="0"/>
    <x v="0"/>
    <s v="BCBS"/>
    <s v="CO-50"/>
    <s v="CO-50"/>
    <x v="0"/>
    <n v="423.91"/>
    <x v="0"/>
    <n v="0"/>
  </r>
  <r>
    <x v="1"/>
    <x v="0"/>
    <s v="UnitedHealthcare"/>
    <s v="CO-109"/>
    <s v="CO-109"/>
    <x v="1"/>
    <n v="1349.74"/>
    <x v="1"/>
    <n v="2"/>
  </r>
  <r>
    <x v="2"/>
    <x v="1"/>
    <s v="Aetna"/>
    <s v="CO-16"/>
    <s v="CO-16"/>
    <x v="2"/>
    <n v="3528.28"/>
    <x v="2"/>
    <n v="36"/>
  </r>
  <r>
    <x v="3"/>
    <x v="2"/>
    <s v="Medicare"/>
    <s v="CO-109"/>
    <s v="CO-197"/>
    <x v="1"/>
    <n v="6321.82"/>
    <x v="1"/>
    <n v="18"/>
  </r>
  <r>
    <x v="4"/>
    <x v="1"/>
    <s v="Medicaid"/>
    <s v="CO-197"/>
    <s v="CO-18"/>
    <x v="3"/>
    <n v="10487.18"/>
    <x v="1"/>
    <n v="10"/>
  </r>
  <r>
    <x v="5"/>
    <x v="3"/>
    <s v="Humana"/>
    <s v="CO-18"/>
    <s v="CO-96"/>
    <x v="4"/>
    <n v="1578.04"/>
    <x v="1"/>
    <n v="23"/>
  </r>
  <r>
    <x v="6"/>
    <x v="4"/>
    <s v="Cigna"/>
    <s v="CO-96"/>
    <s v="CO-45"/>
    <x v="5"/>
    <n v="4004.59"/>
    <x v="0"/>
    <n v="0"/>
  </r>
  <r>
    <x v="7"/>
    <x v="3"/>
    <s v="Molina"/>
    <s v="CO-50"/>
    <s v="CO-29"/>
    <x v="0"/>
    <n v="8303.01"/>
    <x v="3"/>
    <n v="40"/>
  </r>
  <r>
    <x v="8"/>
    <x v="5"/>
    <s v="Tricare"/>
    <s v="CO-96"/>
    <s v="CO-4"/>
    <x v="5"/>
    <n v="2924.71"/>
    <x v="0"/>
    <n v="0"/>
  </r>
  <r>
    <x v="9"/>
    <x v="5"/>
    <s v="Anthem"/>
    <s v="CO-50"/>
    <s v="CO-97"/>
    <x v="0"/>
    <n v="12837"/>
    <x v="3"/>
    <n v="25"/>
  </r>
  <r>
    <x v="10"/>
    <x v="3"/>
    <m/>
    <s v="CO-45"/>
    <m/>
    <x v="6"/>
    <n v="9553.48"/>
    <x v="1"/>
    <n v="24"/>
  </r>
  <r>
    <x v="11"/>
    <x v="0"/>
    <m/>
    <s v="CO-16"/>
    <m/>
    <x v="2"/>
    <n v="10069.120000000001"/>
    <x v="2"/>
    <n v="44"/>
  </r>
  <r>
    <x v="12"/>
    <x v="6"/>
    <m/>
    <s v="CO-96"/>
    <m/>
    <x v="5"/>
    <n v="9542.93"/>
    <x v="1"/>
    <n v="16"/>
  </r>
  <r>
    <x v="13"/>
    <x v="7"/>
    <m/>
    <s v="CO-45"/>
    <m/>
    <x v="6"/>
    <n v="5722.86"/>
    <x v="4"/>
    <n v="41"/>
  </r>
  <r>
    <x v="14"/>
    <x v="2"/>
    <m/>
    <s v="CO-16"/>
    <m/>
    <x v="2"/>
    <n v="10284.98"/>
    <x v="3"/>
    <n v="50"/>
  </r>
  <r>
    <x v="15"/>
    <x v="5"/>
    <m/>
    <s v="CO-16"/>
    <m/>
    <x v="2"/>
    <n v="12335.95"/>
    <x v="3"/>
    <n v="26"/>
  </r>
  <r>
    <x v="16"/>
    <x v="3"/>
    <m/>
    <s v="CO-50"/>
    <m/>
    <x v="0"/>
    <n v="3204.19"/>
    <x v="4"/>
    <n v="57"/>
  </r>
  <r>
    <x v="17"/>
    <x v="8"/>
    <m/>
    <s v="CO-16"/>
    <m/>
    <x v="2"/>
    <n v="9848.81"/>
    <x v="1"/>
    <n v="59"/>
  </r>
  <r>
    <x v="18"/>
    <x v="9"/>
    <m/>
    <s v="CO-197"/>
    <m/>
    <x v="3"/>
    <n v="4009.96"/>
    <x v="0"/>
    <n v="0"/>
  </r>
  <r>
    <x v="19"/>
    <x v="6"/>
    <m/>
    <s v="CO-29"/>
    <m/>
    <x v="7"/>
    <n v="13472.45"/>
    <x v="1"/>
    <n v="15"/>
  </r>
  <r>
    <x v="20"/>
    <x v="0"/>
    <m/>
    <s v="CO-109"/>
    <m/>
    <x v="1"/>
    <n v="7428.06"/>
    <x v="3"/>
    <n v="56"/>
  </r>
  <r>
    <x v="21"/>
    <x v="9"/>
    <m/>
    <s v="CO-197"/>
    <m/>
    <x v="3"/>
    <n v="9430.32"/>
    <x v="3"/>
    <n v="28"/>
  </r>
  <r>
    <x v="22"/>
    <x v="7"/>
    <m/>
    <s v="CO-50"/>
    <m/>
    <x v="0"/>
    <n v="5802.27"/>
    <x v="2"/>
    <n v="30"/>
  </r>
  <r>
    <x v="23"/>
    <x v="0"/>
    <m/>
    <s v="CO-4"/>
    <m/>
    <x v="2"/>
    <n v="14567.62"/>
    <x v="3"/>
    <n v="1"/>
  </r>
  <r>
    <x v="24"/>
    <x v="0"/>
    <m/>
    <s v="CO-109"/>
    <m/>
    <x v="1"/>
    <n v="11275.62"/>
    <x v="3"/>
    <n v="22"/>
  </r>
  <r>
    <x v="25"/>
    <x v="5"/>
    <m/>
    <s v="CO-4"/>
    <m/>
    <x v="2"/>
    <n v="6549.74"/>
    <x v="1"/>
    <n v="47"/>
  </r>
  <r>
    <x v="26"/>
    <x v="5"/>
    <m/>
    <s v="CO-109"/>
    <m/>
    <x v="1"/>
    <n v="11441.33"/>
    <x v="1"/>
    <n v="7"/>
  </r>
  <r>
    <x v="27"/>
    <x v="7"/>
    <m/>
    <s v="CO-109"/>
    <m/>
    <x v="1"/>
    <n v="9154.1"/>
    <x v="0"/>
    <n v="0"/>
  </r>
  <r>
    <x v="28"/>
    <x v="2"/>
    <m/>
    <s v="CO-109"/>
    <m/>
    <x v="1"/>
    <n v="13781.48"/>
    <x v="2"/>
    <n v="32"/>
  </r>
  <r>
    <x v="29"/>
    <x v="5"/>
    <m/>
    <s v="CO-50"/>
    <m/>
    <x v="0"/>
    <n v="13940.02"/>
    <x v="3"/>
    <n v="54"/>
  </r>
  <r>
    <x v="30"/>
    <x v="0"/>
    <m/>
    <s v="CO-16"/>
    <m/>
    <x v="2"/>
    <n v="915.98"/>
    <x v="3"/>
    <n v="6"/>
  </r>
  <r>
    <x v="31"/>
    <x v="6"/>
    <m/>
    <s v="CO-45"/>
    <m/>
    <x v="6"/>
    <n v="12249.55"/>
    <x v="4"/>
    <n v="35"/>
  </r>
  <r>
    <x v="32"/>
    <x v="5"/>
    <m/>
    <s v="CO-197"/>
    <m/>
    <x v="3"/>
    <n v="9913.27"/>
    <x v="4"/>
    <n v="11"/>
  </r>
  <r>
    <x v="33"/>
    <x v="7"/>
    <m/>
    <s v="CO-109"/>
    <m/>
    <x v="1"/>
    <n v="13092.87"/>
    <x v="1"/>
    <n v="14"/>
  </r>
  <r>
    <x v="34"/>
    <x v="3"/>
    <m/>
    <s v="CO-16"/>
    <m/>
    <x v="2"/>
    <n v="10708.59"/>
    <x v="1"/>
    <n v="43"/>
  </r>
  <r>
    <x v="35"/>
    <x v="1"/>
    <m/>
    <s v="CO-45"/>
    <m/>
    <x v="6"/>
    <n v="13499.23"/>
    <x v="1"/>
    <n v="16"/>
  </r>
  <r>
    <x v="36"/>
    <x v="9"/>
    <m/>
    <s v="CO-50"/>
    <m/>
    <x v="0"/>
    <n v="5104.38"/>
    <x v="2"/>
    <n v="15"/>
  </r>
  <r>
    <x v="37"/>
    <x v="1"/>
    <m/>
    <s v="CO-16"/>
    <m/>
    <x v="2"/>
    <n v="157.5"/>
    <x v="2"/>
    <n v="4"/>
  </r>
  <r>
    <x v="38"/>
    <x v="7"/>
    <m/>
    <s v="CO-50"/>
    <m/>
    <x v="0"/>
    <n v="13586.03"/>
    <x v="3"/>
    <n v="5"/>
  </r>
  <r>
    <x v="39"/>
    <x v="6"/>
    <m/>
    <s v="CO-16"/>
    <m/>
    <x v="2"/>
    <n v="4213.24"/>
    <x v="1"/>
    <n v="35"/>
  </r>
  <r>
    <x v="40"/>
    <x v="1"/>
    <m/>
    <s v="CO-96"/>
    <m/>
    <x v="5"/>
    <n v="8664.36"/>
    <x v="0"/>
    <n v="8"/>
  </r>
  <r>
    <x v="41"/>
    <x v="4"/>
    <m/>
    <s v="CO-50"/>
    <m/>
    <x v="0"/>
    <n v="1499.12"/>
    <x v="1"/>
    <n v="28"/>
  </r>
  <r>
    <x v="42"/>
    <x v="2"/>
    <m/>
    <s v="CO-45"/>
    <m/>
    <x v="6"/>
    <n v="12964.36"/>
    <x v="0"/>
    <n v="0"/>
  </r>
  <r>
    <x v="43"/>
    <x v="1"/>
    <m/>
    <s v="CO-29"/>
    <m/>
    <x v="7"/>
    <n v="10936.79"/>
    <x v="3"/>
    <n v="7"/>
  </r>
  <r>
    <x v="44"/>
    <x v="6"/>
    <m/>
    <s v="CO-16"/>
    <m/>
    <x v="2"/>
    <n v="2893.62"/>
    <x v="1"/>
    <n v="28"/>
  </r>
  <r>
    <x v="45"/>
    <x v="8"/>
    <m/>
    <s v="CO-4"/>
    <m/>
    <x v="2"/>
    <n v="6966.29"/>
    <x v="3"/>
    <n v="5"/>
  </r>
  <r>
    <x v="46"/>
    <x v="2"/>
    <m/>
    <s v="CO-109"/>
    <m/>
    <x v="1"/>
    <n v="1513.74"/>
    <x v="2"/>
    <n v="35"/>
  </r>
  <r>
    <x v="47"/>
    <x v="4"/>
    <m/>
    <s v="CO-50"/>
    <m/>
    <x v="0"/>
    <n v="13899.19"/>
    <x v="3"/>
    <n v="11"/>
  </r>
  <r>
    <x v="48"/>
    <x v="2"/>
    <m/>
    <s v="CO-45"/>
    <m/>
    <x v="6"/>
    <n v="7246.31"/>
    <x v="3"/>
    <n v="58"/>
  </r>
  <r>
    <x v="49"/>
    <x v="8"/>
    <m/>
    <s v="CO-197"/>
    <m/>
    <x v="3"/>
    <n v="5715.65"/>
    <x v="4"/>
    <n v="17"/>
  </r>
  <r>
    <x v="50"/>
    <x v="7"/>
    <m/>
    <s v="CO-4"/>
    <m/>
    <x v="2"/>
    <n v="6373.96"/>
    <x v="4"/>
    <n v="51"/>
  </r>
  <r>
    <x v="51"/>
    <x v="9"/>
    <m/>
    <s v="CO-45"/>
    <m/>
    <x v="6"/>
    <n v="2364.21"/>
    <x v="1"/>
    <n v="4"/>
  </r>
  <r>
    <x v="52"/>
    <x v="9"/>
    <m/>
    <s v="CO-109"/>
    <m/>
    <x v="1"/>
    <n v="961.32"/>
    <x v="1"/>
    <n v="4"/>
  </r>
  <r>
    <x v="53"/>
    <x v="2"/>
    <m/>
    <s v="CO-45"/>
    <m/>
    <x v="6"/>
    <n v="7567.61"/>
    <x v="3"/>
    <n v="11"/>
  </r>
  <r>
    <x v="54"/>
    <x v="1"/>
    <m/>
    <s v="CO-109"/>
    <m/>
    <x v="1"/>
    <n v="1247.67"/>
    <x v="0"/>
    <n v="0"/>
  </r>
  <r>
    <x v="55"/>
    <x v="9"/>
    <m/>
    <s v="CO-29"/>
    <m/>
    <x v="7"/>
    <n v="1842.3"/>
    <x v="4"/>
    <n v="16"/>
  </r>
  <r>
    <x v="56"/>
    <x v="5"/>
    <m/>
    <s v="CO-96"/>
    <m/>
    <x v="5"/>
    <n v="644.14"/>
    <x v="0"/>
    <n v="0"/>
  </r>
  <r>
    <x v="57"/>
    <x v="4"/>
    <m/>
    <s v="CO-16"/>
    <m/>
    <x v="2"/>
    <n v="10062.4"/>
    <x v="1"/>
    <n v="17"/>
  </r>
  <r>
    <x v="58"/>
    <x v="0"/>
    <m/>
    <s v="CO-197"/>
    <m/>
    <x v="3"/>
    <n v="10091.77"/>
    <x v="1"/>
    <n v="21"/>
  </r>
  <r>
    <x v="59"/>
    <x v="0"/>
    <m/>
    <s v="CO-97"/>
    <m/>
    <x v="4"/>
    <n v="6901.37"/>
    <x v="4"/>
    <n v="7"/>
  </r>
  <r>
    <x v="60"/>
    <x v="0"/>
    <m/>
    <s v="CO-109"/>
    <m/>
    <x v="1"/>
    <n v="3236.66"/>
    <x v="0"/>
    <n v="0"/>
  </r>
  <r>
    <x v="61"/>
    <x v="9"/>
    <m/>
    <s v="CO-16"/>
    <m/>
    <x v="2"/>
    <n v="5574.43"/>
    <x v="0"/>
    <n v="0"/>
  </r>
  <r>
    <x v="62"/>
    <x v="0"/>
    <m/>
    <s v="CO-109"/>
    <m/>
    <x v="1"/>
    <n v="166.96"/>
    <x v="3"/>
    <n v="20"/>
  </r>
  <r>
    <x v="63"/>
    <x v="7"/>
    <m/>
    <s v="CO-197"/>
    <m/>
    <x v="3"/>
    <n v="4003.77"/>
    <x v="4"/>
    <n v="48"/>
  </r>
  <r>
    <x v="64"/>
    <x v="3"/>
    <m/>
    <s v="CO-197"/>
    <m/>
    <x v="3"/>
    <n v="4121.6099999999997"/>
    <x v="2"/>
    <n v="46"/>
  </r>
  <r>
    <x v="65"/>
    <x v="8"/>
    <m/>
    <s v="CO-16"/>
    <m/>
    <x v="2"/>
    <n v="10328.08"/>
    <x v="3"/>
    <n v="33"/>
  </r>
  <r>
    <x v="66"/>
    <x v="4"/>
    <m/>
    <s v="CO-4"/>
    <m/>
    <x v="2"/>
    <n v="13584.78"/>
    <x v="3"/>
    <n v="6"/>
  </r>
  <r>
    <x v="67"/>
    <x v="5"/>
    <m/>
    <s v="CO-4"/>
    <m/>
    <x v="2"/>
    <n v="709.1"/>
    <x v="1"/>
    <n v="9"/>
  </r>
  <r>
    <x v="68"/>
    <x v="7"/>
    <m/>
    <s v="CO-197"/>
    <m/>
    <x v="3"/>
    <n v="11131.4"/>
    <x v="2"/>
    <n v="28"/>
  </r>
  <r>
    <x v="69"/>
    <x v="6"/>
    <m/>
    <s v="CO-97"/>
    <m/>
    <x v="4"/>
    <n v="1722.51"/>
    <x v="4"/>
    <n v="45"/>
  </r>
  <r>
    <x v="70"/>
    <x v="6"/>
    <m/>
    <s v="CO-109"/>
    <m/>
    <x v="1"/>
    <n v="588.62"/>
    <x v="1"/>
    <n v="36"/>
  </r>
  <r>
    <x v="71"/>
    <x v="2"/>
    <m/>
    <s v="CO-29"/>
    <m/>
    <x v="7"/>
    <n v="1955.31"/>
    <x v="1"/>
    <n v="58"/>
  </r>
  <r>
    <x v="72"/>
    <x v="7"/>
    <m/>
    <s v="CO-18"/>
    <m/>
    <x v="4"/>
    <n v="3190.64"/>
    <x v="0"/>
    <n v="0"/>
  </r>
  <r>
    <x v="73"/>
    <x v="1"/>
    <m/>
    <s v="CO-29"/>
    <m/>
    <x v="7"/>
    <n v="14608.86"/>
    <x v="3"/>
    <n v="60"/>
  </r>
  <r>
    <x v="74"/>
    <x v="4"/>
    <m/>
    <s v="CO-197"/>
    <m/>
    <x v="3"/>
    <n v="14644.28"/>
    <x v="3"/>
    <n v="57"/>
  </r>
  <r>
    <x v="75"/>
    <x v="4"/>
    <m/>
    <s v="CO-97"/>
    <m/>
    <x v="4"/>
    <n v="2731.44"/>
    <x v="4"/>
    <n v="51"/>
  </r>
  <r>
    <x v="76"/>
    <x v="4"/>
    <m/>
    <s v="CO-16"/>
    <m/>
    <x v="2"/>
    <n v="4038.75"/>
    <x v="3"/>
    <n v="7"/>
  </r>
  <r>
    <x v="77"/>
    <x v="3"/>
    <m/>
    <s v="CO-97"/>
    <m/>
    <x v="4"/>
    <n v="12885.97"/>
    <x v="0"/>
    <n v="14"/>
  </r>
  <r>
    <x v="78"/>
    <x v="2"/>
    <m/>
    <s v="CO-4"/>
    <m/>
    <x v="2"/>
    <n v="12317.02"/>
    <x v="3"/>
    <n v="15"/>
  </r>
  <r>
    <x v="79"/>
    <x v="3"/>
    <m/>
    <s v="CO-16"/>
    <m/>
    <x v="2"/>
    <n v="6007.07"/>
    <x v="0"/>
    <n v="0"/>
  </r>
  <r>
    <x v="80"/>
    <x v="3"/>
    <m/>
    <s v="CO-109"/>
    <m/>
    <x v="1"/>
    <n v="6025.19"/>
    <x v="4"/>
    <n v="35"/>
  </r>
  <r>
    <x v="81"/>
    <x v="9"/>
    <m/>
    <s v="CO-97"/>
    <m/>
    <x v="4"/>
    <n v="1774.36"/>
    <x v="4"/>
    <n v="12"/>
  </r>
  <r>
    <x v="82"/>
    <x v="3"/>
    <m/>
    <s v="CO-4"/>
    <m/>
    <x v="2"/>
    <n v="621.95000000000005"/>
    <x v="2"/>
    <n v="23"/>
  </r>
  <r>
    <x v="83"/>
    <x v="9"/>
    <m/>
    <s v="CO-29"/>
    <m/>
    <x v="7"/>
    <n v="9112.82"/>
    <x v="1"/>
    <n v="25"/>
  </r>
  <r>
    <x v="84"/>
    <x v="7"/>
    <m/>
    <s v="CO-16"/>
    <m/>
    <x v="2"/>
    <n v="3858.1"/>
    <x v="2"/>
    <n v="1"/>
  </r>
  <r>
    <x v="85"/>
    <x v="1"/>
    <m/>
    <s v="CO-109"/>
    <m/>
    <x v="1"/>
    <n v="10318.51"/>
    <x v="4"/>
    <n v="48"/>
  </r>
  <r>
    <x v="86"/>
    <x v="3"/>
    <m/>
    <s v="CO-18"/>
    <m/>
    <x v="4"/>
    <n v="6497.9"/>
    <x v="4"/>
    <n v="59"/>
  </r>
  <r>
    <x v="87"/>
    <x v="5"/>
    <m/>
    <s v="CO-96"/>
    <m/>
    <x v="5"/>
    <n v="4743.04"/>
    <x v="3"/>
    <n v="47"/>
  </r>
  <r>
    <x v="88"/>
    <x v="5"/>
    <m/>
    <s v="CO-109"/>
    <m/>
    <x v="1"/>
    <n v="4673.8100000000004"/>
    <x v="1"/>
    <n v="26"/>
  </r>
  <r>
    <x v="89"/>
    <x v="6"/>
    <m/>
    <s v="CO-109"/>
    <m/>
    <x v="1"/>
    <n v="1952.95"/>
    <x v="1"/>
    <n v="25"/>
  </r>
  <r>
    <x v="90"/>
    <x v="2"/>
    <m/>
    <s v="CO-96"/>
    <m/>
    <x v="5"/>
    <n v="8558.1200000000008"/>
    <x v="1"/>
    <n v="54"/>
  </r>
  <r>
    <x v="91"/>
    <x v="9"/>
    <m/>
    <s v="CO-4"/>
    <m/>
    <x v="2"/>
    <n v="4339.3599999999997"/>
    <x v="1"/>
    <n v="38"/>
  </r>
  <r>
    <x v="92"/>
    <x v="7"/>
    <m/>
    <s v="CO-18"/>
    <m/>
    <x v="4"/>
    <n v="7001.57"/>
    <x v="1"/>
    <n v="14"/>
  </r>
  <r>
    <x v="93"/>
    <x v="6"/>
    <m/>
    <s v="CO-45"/>
    <m/>
    <x v="6"/>
    <n v="11916.34"/>
    <x v="4"/>
    <n v="48"/>
  </r>
  <r>
    <x v="94"/>
    <x v="3"/>
    <m/>
    <s v="CO-50"/>
    <m/>
    <x v="0"/>
    <n v="4292.6099999999997"/>
    <x v="2"/>
    <n v="40"/>
  </r>
  <r>
    <x v="95"/>
    <x v="5"/>
    <m/>
    <s v="CO-50"/>
    <m/>
    <x v="0"/>
    <n v="12285.43"/>
    <x v="3"/>
    <n v="44"/>
  </r>
  <r>
    <x v="96"/>
    <x v="8"/>
    <m/>
    <s v="CO-16"/>
    <m/>
    <x v="2"/>
    <n v="12108.12"/>
    <x v="0"/>
    <n v="0"/>
  </r>
  <r>
    <x v="97"/>
    <x v="4"/>
    <m/>
    <s v="CO-96"/>
    <m/>
    <x v="5"/>
    <n v="12753.58"/>
    <x v="0"/>
    <n v="0"/>
  </r>
  <r>
    <x v="98"/>
    <x v="0"/>
    <m/>
    <s v="CO-45"/>
    <m/>
    <x v="6"/>
    <n v="6024.81"/>
    <x v="0"/>
    <n v="0"/>
  </r>
  <r>
    <x v="99"/>
    <x v="7"/>
    <m/>
    <s v="CO-29"/>
    <m/>
    <x v="7"/>
    <n v="3321.67"/>
    <x v="3"/>
    <n v="45"/>
  </r>
  <r>
    <x v="100"/>
    <x v="8"/>
    <m/>
    <s v="CO-45"/>
    <m/>
    <x v="6"/>
    <n v="800.76"/>
    <x v="0"/>
    <n v="0"/>
  </r>
  <r>
    <x v="101"/>
    <x v="9"/>
    <m/>
    <s v="CO-197"/>
    <m/>
    <x v="3"/>
    <n v="12031.18"/>
    <x v="2"/>
    <n v="36"/>
  </r>
  <r>
    <x v="102"/>
    <x v="7"/>
    <m/>
    <s v="CO-18"/>
    <m/>
    <x v="4"/>
    <n v="14253.09"/>
    <x v="4"/>
    <n v="40"/>
  </r>
  <r>
    <x v="103"/>
    <x v="6"/>
    <m/>
    <s v="CO-29"/>
    <m/>
    <x v="7"/>
    <n v="12467.01"/>
    <x v="1"/>
    <n v="58"/>
  </r>
  <r>
    <x v="104"/>
    <x v="5"/>
    <m/>
    <s v="CO-45"/>
    <m/>
    <x v="6"/>
    <n v="6778.54"/>
    <x v="3"/>
    <n v="54"/>
  </r>
  <r>
    <x v="105"/>
    <x v="5"/>
    <m/>
    <s v="CO-109"/>
    <m/>
    <x v="1"/>
    <n v="7294.73"/>
    <x v="0"/>
    <n v="0"/>
  </r>
  <r>
    <x v="106"/>
    <x v="0"/>
    <m/>
    <s v="CO-16"/>
    <m/>
    <x v="2"/>
    <n v="4112.1400000000003"/>
    <x v="1"/>
    <n v="35"/>
  </r>
  <r>
    <x v="107"/>
    <x v="1"/>
    <m/>
    <s v="CO-197"/>
    <m/>
    <x v="3"/>
    <n v="2304.92"/>
    <x v="1"/>
    <n v="10"/>
  </r>
  <r>
    <x v="108"/>
    <x v="4"/>
    <m/>
    <s v="CO-50"/>
    <m/>
    <x v="0"/>
    <n v="6252.28"/>
    <x v="1"/>
    <n v="30"/>
  </r>
  <r>
    <x v="109"/>
    <x v="9"/>
    <m/>
    <s v="CO-97"/>
    <m/>
    <x v="4"/>
    <n v="3142.17"/>
    <x v="1"/>
    <n v="58"/>
  </r>
  <r>
    <x v="110"/>
    <x v="8"/>
    <m/>
    <s v="CO-97"/>
    <m/>
    <x v="4"/>
    <n v="12858.14"/>
    <x v="3"/>
    <n v="25"/>
  </r>
  <r>
    <x v="111"/>
    <x v="4"/>
    <m/>
    <s v="CO-97"/>
    <m/>
    <x v="4"/>
    <n v="14143.99"/>
    <x v="1"/>
    <n v="25"/>
  </r>
  <r>
    <x v="112"/>
    <x v="1"/>
    <m/>
    <s v="CO-109"/>
    <m/>
    <x v="1"/>
    <n v="11225.36"/>
    <x v="1"/>
    <n v="39"/>
  </r>
  <r>
    <x v="113"/>
    <x v="4"/>
    <m/>
    <s v="CO-45"/>
    <m/>
    <x v="6"/>
    <n v="3330.35"/>
    <x v="1"/>
    <n v="2"/>
  </r>
  <r>
    <x v="114"/>
    <x v="6"/>
    <m/>
    <s v="CO-18"/>
    <m/>
    <x v="4"/>
    <n v="10049.66"/>
    <x v="3"/>
    <n v="47"/>
  </r>
  <r>
    <x v="115"/>
    <x v="2"/>
    <m/>
    <s v="CO-45"/>
    <m/>
    <x v="6"/>
    <n v="13797.15"/>
    <x v="4"/>
    <n v="35"/>
  </r>
  <r>
    <x v="116"/>
    <x v="4"/>
    <m/>
    <s v="CO-29"/>
    <m/>
    <x v="7"/>
    <n v="8898.7999999999993"/>
    <x v="2"/>
    <n v="6"/>
  </r>
  <r>
    <x v="117"/>
    <x v="3"/>
    <m/>
    <s v="CO-197"/>
    <m/>
    <x v="3"/>
    <n v="13009.43"/>
    <x v="0"/>
    <n v="5"/>
  </r>
  <r>
    <x v="118"/>
    <x v="4"/>
    <m/>
    <s v="CO-16"/>
    <m/>
    <x v="2"/>
    <n v="6847.75"/>
    <x v="1"/>
    <n v="57"/>
  </r>
  <r>
    <x v="119"/>
    <x v="0"/>
    <m/>
    <s v="CO-4"/>
    <m/>
    <x v="2"/>
    <n v="11292.55"/>
    <x v="3"/>
    <n v="17"/>
  </r>
  <r>
    <x v="120"/>
    <x v="1"/>
    <m/>
    <s v="CO-45"/>
    <m/>
    <x v="6"/>
    <n v="339.78"/>
    <x v="1"/>
    <n v="23"/>
  </r>
  <r>
    <x v="121"/>
    <x v="2"/>
    <m/>
    <s v="CO-50"/>
    <m/>
    <x v="0"/>
    <n v="11729.43"/>
    <x v="2"/>
    <n v="49"/>
  </r>
  <r>
    <x v="122"/>
    <x v="6"/>
    <m/>
    <s v="CO-16"/>
    <m/>
    <x v="2"/>
    <n v="3030.44"/>
    <x v="0"/>
    <n v="0"/>
  </r>
  <r>
    <x v="123"/>
    <x v="8"/>
    <m/>
    <s v="CO-45"/>
    <m/>
    <x v="6"/>
    <n v="10058.41"/>
    <x v="2"/>
    <n v="14"/>
  </r>
  <r>
    <x v="124"/>
    <x v="6"/>
    <m/>
    <s v="CO-4"/>
    <m/>
    <x v="2"/>
    <n v="11515.13"/>
    <x v="0"/>
    <n v="0"/>
  </r>
  <r>
    <x v="125"/>
    <x v="4"/>
    <m/>
    <s v="CO-4"/>
    <m/>
    <x v="2"/>
    <n v="1666.08"/>
    <x v="0"/>
    <n v="5"/>
  </r>
  <r>
    <x v="126"/>
    <x v="1"/>
    <m/>
    <s v="CO-16"/>
    <m/>
    <x v="2"/>
    <n v="1186.1500000000001"/>
    <x v="2"/>
    <n v="41"/>
  </r>
  <r>
    <x v="127"/>
    <x v="9"/>
    <m/>
    <s v="CO-50"/>
    <m/>
    <x v="0"/>
    <n v="10473.040000000001"/>
    <x v="1"/>
    <n v="44"/>
  </r>
  <r>
    <x v="128"/>
    <x v="3"/>
    <m/>
    <s v="CO-50"/>
    <m/>
    <x v="0"/>
    <n v="11953.6"/>
    <x v="2"/>
    <n v="3"/>
  </r>
  <r>
    <x v="129"/>
    <x v="3"/>
    <m/>
    <s v="CO-109"/>
    <m/>
    <x v="1"/>
    <n v="6454.25"/>
    <x v="1"/>
    <n v="33"/>
  </r>
  <r>
    <x v="130"/>
    <x v="4"/>
    <m/>
    <s v="CO-97"/>
    <m/>
    <x v="4"/>
    <n v="12751.16"/>
    <x v="3"/>
    <n v="7"/>
  </r>
  <r>
    <x v="131"/>
    <x v="6"/>
    <m/>
    <s v="CO-18"/>
    <m/>
    <x v="4"/>
    <n v="9552"/>
    <x v="3"/>
    <n v="46"/>
  </r>
  <r>
    <x v="132"/>
    <x v="5"/>
    <m/>
    <s v="CO-29"/>
    <m/>
    <x v="7"/>
    <n v="2683.25"/>
    <x v="1"/>
    <n v="42"/>
  </r>
  <r>
    <x v="133"/>
    <x v="8"/>
    <m/>
    <s v="CO-96"/>
    <m/>
    <x v="5"/>
    <n v="12132.58"/>
    <x v="1"/>
    <n v="31"/>
  </r>
  <r>
    <x v="134"/>
    <x v="1"/>
    <m/>
    <s v="CO-29"/>
    <m/>
    <x v="7"/>
    <n v="12394.73"/>
    <x v="2"/>
    <n v="21"/>
  </r>
  <r>
    <x v="135"/>
    <x v="8"/>
    <m/>
    <s v="CO-50"/>
    <m/>
    <x v="0"/>
    <n v="4219.9799999999996"/>
    <x v="1"/>
    <n v="49"/>
  </r>
  <r>
    <x v="136"/>
    <x v="8"/>
    <m/>
    <s v="CO-96"/>
    <m/>
    <x v="5"/>
    <n v="9174.4599999999991"/>
    <x v="1"/>
    <n v="2"/>
  </r>
  <r>
    <x v="137"/>
    <x v="3"/>
    <m/>
    <s v="CO-18"/>
    <m/>
    <x v="4"/>
    <n v="2768.51"/>
    <x v="0"/>
    <n v="0"/>
  </r>
  <r>
    <x v="138"/>
    <x v="7"/>
    <m/>
    <s v="CO-4"/>
    <m/>
    <x v="2"/>
    <n v="13210.78"/>
    <x v="2"/>
    <n v="18"/>
  </r>
  <r>
    <x v="139"/>
    <x v="8"/>
    <m/>
    <s v="CO-97"/>
    <m/>
    <x v="4"/>
    <n v="7773.58"/>
    <x v="0"/>
    <n v="4"/>
  </r>
  <r>
    <x v="140"/>
    <x v="8"/>
    <m/>
    <s v="CO-109"/>
    <m/>
    <x v="1"/>
    <n v="11384.56"/>
    <x v="2"/>
    <n v="42"/>
  </r>
  <r>
    <x v="141"/>
    <x v="1"/>
    <m/>
    <s v="CO-45"/>
    <m/>
    <x v="6"/>
    <n v="11904.35"/>
    <x v="0"/>
    <n v="4"/>
  </r>
  <r>
    <x v="142"/>
    <x v="7"/>
    <m/>
    <s v="CO-4"/>
    <m/>
    <x v="2"/>
    <n v="9976.2000000000007"/>
    <x v="1"/>
    <n v="36"/>
  </r>
  <r>
    <x v="143"/>
    <x v="3"/>
    <m/>
    <s v="CO-18"/>
    <m/>
    <x v="4"/>
    <n v="6411.28"/>
    <x v="3"/>
    <n v="22"/>
  </r>
  <r>
    <x v="144"/>
    <x v="3"/>
    <m/>
    <s v="CO-45"/>
    <m/>
    <x v="6"/>
    <n v="4100.2"/>
    <x v="0"/>
    <n v="0"/>
  </r>
  <r>
    <x v="145"/>
    <x v="6"/>
    <m/>
    <s v="CO-50"/>
    <m/>
    <x v="0"/>
    <n v="11156.07"/>
    <x v="4"/>
    <n v="45"/>
  </r>
  <r>
    <x v="146"/>
    <x v="9"/>
    <m/>
    <s v="CO-16"/>
    <m/>
    <x v="2"/>
    <n v="3284.95"/>
    <x v="1"/>
    <n v="47"/>
  </r>
  <r>
    <x v="147"/>
    <x v="1"/>
    <m/>
    <s v="CO-109"/>
    <m/>
    <x v="1"/>
    <n v="8972.02"/>
    <x v="4"/>
    <n v="54"/>
  </r>
  <r>
    <x v="148"/>
    <x v="5"/>
    <m/>
    <s v="CO-4"/>
    <m/>
    <x v="2"/>
    <n v="3450.87"/>
    <x v="0"/>
    <n v="0"/>
  </r>
  <r>
    <x v="149"/>
    <x v="6"/>
    <m/>
    <s v="CO-97"/>
    <m/>
    <x v="4"/>
    <n v="14615.71"/>
    <x v="2"/>
    <n v="45"/>
  </r>
  <r>
    <x v="150"/>
    <x v="8"/>
    <m/>
    <s v="CO-45"/>
    <m/>
    <x v="6"/>
    <n v="1583.69"/>
    <x v="0"/>
    <n v="5"/>
  </r>
  <r>
    <x v="151"/>
    <x v="8"/>
    <m/>
    <s v="CO-45"/>
    <m/>
    <x v="6"/>
    <n v="5143.55"/>
    <x v="4"/>
    <n v="17"/>
  </r>
  <r>
    <x v="152"/>
    <x v="9"/>
    <m/>
    <s v="CO-50"/>
    <m/>
    <x v="0"/>
    <n v="12340.63"/>
    <x v="1"/>
    <n v="5"/>
  </r>
  <r>
    <x v="153"/>
    <x v="0"/>
    <m/>
    <s v="CO-97"/>
    <m/>
    <x v="4"/>
    <n v="2318.3200000000002"/>
    <x v="3"/>
    <n v="20"/>
  </r>
  <r>
    <x v="154"/>
    <x v="9"/>
    <m/>
    <s v="CO-16"/>
    <m/>
    <x v="2"/>
    <n v="1820.85"/>
    <x v="3"/>
    <n v="39"/>
  </r>
  <r>
    <x v="155"/>
    <x v="8"/>
    <m/>
    <s v="CO-96"/>
    <m/>
    <x v="5"/>
    <n v="3424.02"/>
    <x v="1"/>
    <n v="29"/>
  </r>
  <r>
    <x v="156"/>
    <x v="9"/>
    <m/>
    <s v="CO-4"/>
    <m/>
    <x v="2"/>
    <n v="12909.49"/>
    <x v="4"/>
    <n v="20"/>
  </r>
  <r>
    <x v="157"/>
    <x v="1"/>
    <m/>
    <s v="CO-96"/>
    <m/>
    <x v="5"/>
    <n v="950.44"/>
    <x v="4"/>
    <n v="7"/>
  </r>
  <r>
    <x v="158"/>
    <x v="7"/>
    <m/>
    <s v="CO-16"/>
    <m/>
    <x v="2"/>
    <n v="4006.46"/>
    <x v="0"/>
    <n v="0"/>
  </r>
  <r>
    <x v="159"/>
    <x v="9"/>
    <m/>
    <s v="CO-50"/>
    <m/>
    <x v="0"/>
    <n v="2390.16"/>
    <x v="1"/>
    <n v="45"/>
  </r>
  <r>
    <x v="160"/>
    <x v="8"/>
    <m/>
    <s v="CO-45"/>
    <m/>
    <x v="6"/>
    <n v="4404.33"/>
    <x v="0"/>
    <n v="0"/>
  </r>
  <r>
    <x v="161"/>
    <x v="9"/>
    <m/>
    <s v="CO-50"/>
    <m/>
    <x v="0"/>
    <n v="10326.4"/>
    <x v="4"/>
    <n v="51"/>
  </r>
  <r>
    <x v="162"/>
    <x v="6"/>
    <m/>
    <s v="CO-16"/>
    <m/>
    <x v="2"/>
    <n v="6405.83"/>
    <x v="1"/>
    <n v="42"/>
  </r>
  <r>
    <x v="163"/>
    <x v="9"/>
    <m/>
    <s v="CO-4"/>
    <m/>
    <x v="2"/>
    <n v="12408.14"/>
    <x v="0"/>
    <n v="0"/>
  </r>
  <r>
    <x v="164"/>
    <x v="5"/>
    <m/>
    <s v="CO-96"/>
    <m/>
    <x v="5"/>
    <n v="13821.83"/>
    <x v="1"/>
    <n v="30"/>
  </r>
  <r>
    <x v="165"/>
    <x v="8"/>
    <m/>
    <s v="CO-29"/>
    <m/>
    <x v="7"/>
    <n v="14143.01"/>
    <x v="1"/>
    <n v="32"/>
  </r>
  <r>
    <x v="166"/>
    <x v="3"/>
    <m/>
    <s v="CO-50"/>
    <m/>
    <x v="0"/>
    <n v="8990.65"/>
    <x v="4"/>
    <n v="48"/>
  </r>
  <r>
    <x v="167"/>
    <x v="5"/>
    <m/>
    <s v="CO-96"/>
    <m/>
    <x v="5"/>
    <n v="3793"/>
    <x v="0"/>
    <n v="0"/>
  </r>
  <r>
    <x v="168"/>
    <x v="7"/>
    <m/>
    <s v="CO-96"/>
    <m/>
    <x v="5"/>
    <n v="651.46"/>
    <x v="3"/>
    <n v="31"/>
  </r>
  <r>
    <x v="169"/>
    <x v="8"/>
    <m/>
    <s v="CO-45"/>
    <m/>
    <x v="6"/>
    <n v="13745.29"/>
    <x v="0"/>
    <n v="10"/>
  </r>
  <r>
    <x v="170"/>
    <x v="0"/>
    <m/>
    <s v="CO-50"/>
    <m/>
    <x v="0"/>
    <n v="7076.66"/>
    <x v="1"/>
    <n v="21"/>
  </r>
  <r>
    <x v="171"/>
    <x v="4"/>
    <m/>
    <s v="CO-197"/>
    <m/>
    <x v="3"/>
    <n v="4980.5600000000004"/>
    <x v="2"/>
    <n v="19"/>
  </r>
  <r>
    <x v="172"/>
    <x v="0"/>
    <m/>
    <s v="CO-109"/>
    <m/>
    <x v="1"/>
    <n v="598.62"/>
    <x v="0"/>
    <n v="0"/>
  </r>
  <r>
    <x v="173"/>
    <x v="7"/>
    <m/>
    <s v="CO-29"/>
    <m/>
    <x v="7"/>
    <n v="12980.41"/>
    <x v="3"/>
    <n v="1"/>
  </r>
  <r>
    <x v="174"/>
    <x v="8"/>
    <m/>
    <s v="CO-45"/>
    <m/>
    <x v="6"/>
    <n v="6228.05"/>
    <x v="0"/>
    <n v="6"/>
  </r>
  <r>
    <x v="175"/>
    <x v="5"/>
    <m/>
    <s v="CO-97"/>
    <m/>
    <x v="4"/>
    <n v="3093.2"/>
    <x v="1"/>
    <n v="60"/>
  </r>
  <r>
    <x v="176"/>
    <x v="9"/>
    <m/>
    <s v="CO-45"/>
    <m/>
    <x v="6"/>
    <n v="13218.66"/>
    <x v="1"/>
    <n v="2"/>
  </r>
  <r>
    <x v="177"/>
    <x v="7"/>
    <m/>
    <s v="CO-16"/>
    <m/>
    <x v="2"/>
    <n v="10661.25"/>
    <x v="1"/>
    <n v="1"/>
  </r>
  <r>
    <x v="178"/>
    <x v="0"/>
    <m/>
    <s v="CO-29"/>
    <m/>
    <x v="7"/>
    <n v="1443.48"/>
    <x v="4"/>
    <n v="59"/>
  </r>
  <r>
    <x v="179"/>
    <x v="8"/>
    <m/>
    <s v="CO-45"/>
    <m/>
    <x v="6"/>
    <n v="14208.56"/>
    <x v="2"/>
    <n v="10"/>
  </r>
  <r>
    <x v="180"/>
    <x v="8"/>
    <m/>
    <s v="CO-4"/>
    <m/>
    <x v="2"/>
    <n v="7657.64"/>
    <x v="0"/>
    <n v="14"/>
  </r>
  <r>
    <x v="181"/>
    <x v="0"/>
    <m/>
    <s v="CO-16"/>
    <m/>
    <x v="2"/>
    <n v="6878.96"/>
    <x v="0"/>
    <n v="0"/>
  </r>
  <r>
    <x v="182"/>
    <x v="7"/>
    <m/>
    <s v="CO-4"/>
    <m/>
    <x v="2"/>
    <n v="11601.49"/>
    <x v="3"/>
    <n v="22"/>
  </r>
  <r>
    <x v="183"/>
    <x v="9"/>
    <m/>
    <s v="CO-4"/>
    <m/>
    <x v="2"/>
    <n v="12317.21"/>
    <x v="1"/>
    <n v="20"/>
  </r>
  <r>
    <x v="184"/>
    <x v="8"/>
    <m/>
    <s v="CO-96"/>
    <m/>
    <x v="5"/>
    <n v="14983.59"/>
    <x v="1"/>
    <n v="10"/>
  </r>
  <r>
    <x v="185"/>
    <x v="7"/>
    <m/>
    <s v="CO-109"/>
    <m/>
    <x v="1"/>
    <n v="7290.9"/>
    <x v="1"/>
    <n v="49"/>
  </r>
  <r>
    <x v="186"/>
    <x v="1"/>
    <m/>
    <s v="CO-29"/>
    <m/>
    <x v="7"/>
    <n v="6857.4"/>
    <x v="1"/>
    <n v="13"/>
  </r>
  <r>
    <x v="187"/>
    <x v="2"/>
    <m/>
    <s v="CO-96"/>
    <m/>
    <x v="5"/>
    <n v="5775.41"/>
    <x v="3"/>
    <n v="27"/>
  </r>
  <r>
    <x v="188"/>
    <x v="4"/>
    <m/>
    <s v="CO-18"/>
    <m/>
    <x v="4"/>
    <n v="11183.34"/>
    <x v="2"/>
    <n v="52"/>
  </r>
  <r>
    <x v="189"/>
    <x v="6"/>
    <m/>
    <s v="CO-29"/>
    <m/>
    <x v="7"/>
    <n v="14826.79"/>
    <x v="3"/>
    <n v="42"/>
  </r>
  <r>
    <x v="190"/>
    <x v="0"/>
    <m/>
    <s v="CO-45"/>
    <m/>
    <x v="6"/>
    <n v="14474.13"/>
    <x v="0"/>
    <n v="0"/>
  </r>
  <r>
    <x v="191"/>
    <x v="6"/>
    <m/>
    <s v="CO-45"/>
    <m/>
    <x v="6"/>
    <n v="1540.69"/>
    <x v="4"/>
    <n v="1"/>
  </r>
  <r>
    <x v="192"/>
    <x v="8"/>
    <m/>
    <s v="CO-29"/>
    <m/>
    <x v="7"/>
    <n v="13070.45"/>
    <x v="4"/>
    <n v="5"/>
  </r>
  <r>
    <x v="193"/>
    <x v="0"/>
    <m/>
    <s v="CO-4"/>
    <m/>
    <x v="2"/>
    <n v="5111.49"/>
    <x v="2"/>
    <n v="42"/>
  </r>
  <r>
    <x v="194"/>
    <x v="3"/>
    <m/>
    <s v="CO-18"/>
    <m/>
    <x v="4"/>
    <n v="12792.5"/>
    <x v="3"/>
    <n v="25"/>
  </r>
  <r>
    <x v="195"/>
    <x v="5"/>
    <m/>
    <s v="CO-45"/>
    <m/>
    <x v="6"/>
    <n v="13092.13"/>
    <x v="0"/>
    <n v="0"/>
  </r>
  <r>
    <x v="196"/>
    <x v="0"/>
    <m/>
    <s v="CO-16"/>
    <m/>
    <x v="2"/>
    <n v="11214.16"/>
    <x v="1"/>
    <n v="7"/>
  </r>
  <r>
    <x v="197"/>
    <x v="2"/>
    <m/>
    <s v="CO-45"/>
    <m/>
    <x v="6"/>
    <n v="2537.15"/>
    <x v="1"/>
    <n v="2"/>
  </r>
  <r>
    <x v="198"/>
    <x v="4"/>
    <m/>
    <s v="CO-18"/>
    <m/>
    <x v="4"/>
    <n v="11952.34"/>
    <x v="1"/>
    <n v="24"/>
  </r>
  <r>
    <x v="199"/>
    <x v="6"/>
    <m/>
    <s v="CO-197"/>
    <m/>
    <x v="3"/>
    <n v="3700.75"/>
    <x v="1"/>
    <n v="44"/>
  </r>
  <r>
    <x v="200"/>
    <x v="9"/>
    <m/>
    <s v="CO-197"/>
    <m/>
    <x v="3"/>
    <n v="2667.29"/>
    <x v="2"/>
    <n v="25"/>
  </r>
  <r>
    <x v="201"/>
    <x v="8"/>
    <m/>
    <s v="CO-16"/>
    <m/>
    <x v="2"/>
    <n v="7490.13"/>
    <x v="2"/>
    <n v="15"/>
  </r>
  <r>
    <x v="202"/>
    <x v="8"/>
    <m/>
    <s v="CO-4"/>
    <m/>
    <x v="2"/>
    <n v="6920.58"/>
    <x v="2"/>
    <n v="58"/>
  </r>
  <r>
    <x v="203"/>
    <x v="9"/>
    <m/>
    <s v="CO-4"/>
    <m/>
    <x v="2"/>
    <n v="10180.280000000001"/>
    <x v="0"/>
    <n v="0"/>
  </r>
  <r>
    <x v="204"/>
    <x v="8"/>
    <m/>
    <s v="CO-4"/>
    <m/>
    <x v="2"/>
    <n v="9602.1299999999992"/>
    <x v="1"/>
    <n v="17"/>
  </r>
  <r>
    <x v="205"/>
    <x v="0"/>
    <m/>
    <s v="CO-4"/>
    <m/>
    <x v="2"/>
    <n v="3028.29"/>
    <x v="1"/>
    <n v="31"/>
  </r>
  <r>
    <x v="206"/>
    <x v="5"/>
    <m/>
    <s v="CO-16"/>
    <m/>
    <x v="2"/>
    <n v="5751.4"/>
    <x v="1"/>
    <n v="19"/>
  </r>
  <r>
    <x v="207"/>
    <x v="2"/>
    <m/>
    <s v="CO-97"/>
    <m/>
    <x v="4"/>
    <n v="14670.27"/>
    <x v="2"/>
    <n v="18"/>
  </r>
  <r>
    <x v="208"/>
    <x v="9"/>
    <m/>
    <s v="CO-96"/>
    <m/>
    <x v="5"/>
    <n v="12982.76"/>
    <x v="3"/>
    <n v="4"/>
  </r>
  <r>
    <x v="209"/>
    <x v="1"/>
    <m/>
    <s v="CO-45"/>
    <m/>
    <x v="6"/>
    <n v="12500.94"/>
    <x v="4"/>
    <n v="50"/>
  </r>
  <r>
    <x v="210"/>
    <x v="6"/>
    <m/>
    <s v="CO-96"/>
    <m/>
    <x v="5"/>
    <n v="12038.88"/>
    <x v="0"/>
    <n v="0"/>
  </r>
  <r>
    <x v="211"/>
    <x v="8"/>
    <m/>
    <s v="CO-50"/>
    <m/>
    <x v="0"/>
    <n v="13555.89"/>
    <x v="2"/>
    <n v="20"/>
  </r>
  <r>
    <x v="212"/>
    <x v="5"/>
    <m/>
    <s v="CO-97"/>
    <m/>
    <x v="4"/>
    <n v="8714.6299999999992"/>
    <x v="3"/>
    <n v="6"/>
  </r>
  <r>
    <x v="213"/>
    <x v="7"/>
    <m/>
    <s v="CO-18"/>
    <m/>
    <x v="4"/>
    <n v="11224.84"/>
    <x v="0"/>
    <n v="0"/>
  </r>
  <r>
    <x v="214"/>
    <x v="8"/>
    <m/>
    <s v="CO-109"/>
    <m/>
    <x v="1"/>
    <n v="13706.63"/>
    <x v="3"/>
    <n v="17"/>
  </r>
  <r>
    <x v="215"/>
    <x v="8"/>
    <m/>
    <s v="CO-4"/>
    <m/>
    <x v="2"/>
    <n v="11211.06"/>
    <x v="1"/>
    <n v="8"/>
  </r>
  <r>
    <x v="216"/>
    <x v="4"/>
    <m/>
    <s v="CO-50"/>
    <m/>
    <x v="0"/>
    <n v="2154.3200000000002"/>
    <x v="4"/>
    <n v="56"/>
  </r>
  <r>
    <x v="217"/>
    <x v="5"/>
    <m/>
    <s v="CO-109"/>
    <m/>
    <x v="1"/>
    <n v="5518.34"/>
    <x v="3"/>
    <n v="1"/>
  </r>
  <r>
    <x v="218"/>
    <x v="5"/>
    <m/>
    <s v="CO-109"/>
    <m/>
    <x v="1"/>
    <n v="1897.65"/>
    <x v="1"/>
    <n v="48"/>
  </r>
  <r>
    <x v="219"/>
    <x v="0"/>
    <m/>
    <s v="CO-96"/>
    <m/>
    <x v="5"/>
    <n v="5746.33"/>
    <x v="2"/>
    <n v="24"/>
  </r>
  <r>
    <x v="220"/>
    <x v="3"/>
    <m/>
    <s v="CO-16"/>
    <m/>
    <x v="2"/>
    <n v="7098.58"/>
    <x v="2"/>
    <n v="36"/>
  </r>
  <r>
    <x v="221"/>
    <x v="5"/>
    <m/>
    <s v="CO-96"/>
    <m/>
    <x v="5"/>
    <n v="3359.44"/>
    <x v="0"/>
    <n v="14"/>
  </r>
  <r>
    <x v="222"/>
    <x v="8"/>
    <m/>
    <s v="CO-29"/>
    <m/>
    <x v="7"/>
    <n v="1794.31"/>
    <x v="0"/>
    <n v="0"/>
  </r>
  <r>
    <x v="223"/>
    <x v="4"/>
    <m/>
    <s v="CO-50"/>
    <m/>
    <x v="0"/>
    <n v="1503.02"/>
    <x v="4"/>
    <n v="9"/>
  </r>
  <r>
    <x v="224"/>
    <x v="7"/>
    <m/>
    <s v="CO-45"/>
    <m/>
    <x v="6"/>
    <n v="5596.62"/>
    <x v="4"/>
    <n v="45"/>
  </r>
  <r>
    <x v="225"/>
    <x v="4"/>
    <m/>
    <s v="CO-29"/>
    <m/>
    <x v="7"/>
    <n v="8830.74"/>
    <x v="3"/>
    <n v="57"/>
  </r>
  <r>
    <x v="226"/>
    <x v="2"/>
    <m/>
    <s v="CO-50"/>
    <m/>
    <x v="0"/>
    <n v="12513.71"/>
    <x v="2"/>
    <n v="18"/>
  </r>
  <r>
    <x v="227"/>
    <x v="3"/>
    <m/>
    <s v="CO-18"/>
    <m/>
    <x v="4"/>
    <n v="3298.18"/>
    <x v="1"/>
    <n v="16"/>
  </r>
  <r>
    <x v="228"/>
    <x v="3"/>
    <m/>
    <s v="CO-50"/>
    <m/>
    <x v="0"/>
    <n v="14714.87"/>
    <x v="1"/>
    <n v="58"/>
  </r>
  <r>
    <x v="229"/>
    <x v="0"/>
    <m/>
    <s v="CO-97"/>
    <m/>
    <x v="4"/>
    <n v="6002.19"/>
    <x v="0"/>
    <n v="2"/>
  </r>
  <r>
    <x v="230"/>
    <x v="2"/>
    <m/>
    <s v="CO-16"/>
    <m/>
    <x v="2"/>
    <n v="9643.48"/>
    <x v="2"/>
    <n v="2"/>
  </r>
  <r>
    <x v="231"/>
    <x v="0"/>
    <m/>
    <s v="CO-18"/>
    <m/>
    <x v="4"/>
    <n v="3691.36"/>
    <x v="0"/>
    <n v="0"/>
  </r>
  <r>
    <x v="232"/>
    <x v="3"/>
    <m/>
    <s v="CO-109"/>
    <m/>
    <x v="1"/>
    <n v="3147"/>
    <x v="0"/>
    <n v="0"/>
  </r>
  <r>
    <x v="233"/>
    <x v="6"/>
    <m/>
    <s v="CO-197"/>
    <m/>
    <x v="3"/>
    <n v="11840.22"/>
    <x v="2"/>
    <n v="18"/>
  </r>
  <r>
    <x v="234"/>
    <x v="2"/>
    <m/>
    <s v="CO-197"/>
    <m/>
    <x v="3"/>
    <n v="8126.22"/>
    <x v="3"/>
    <n v="8"/>
  </r>
  <r>
    <x v="235"/>
    <x v="9"/>
    <m/>
    <s v="CO-197"/>
    <m/>
    <x v="3"/>
    <n v="272.16000000000003"/>
    <x v="3"/>
    <n v="16"/>
  </r>
  <r>
    <x v="236"/>
    <x v="7"/>
    <m/>
    <s v="CO-18"/>
    <m/>
    <x v="4"/>
    <n v="285.93"/>
    <x v="0"/>
    <n v="3"/>
  </r>
  <r>
    <x v="237"/>
    <x v="3"/>
    <m/>
    <s v="CO-50"/>
    <m/>
    <x v="0"/>
    <n v="11197.7"/>
    <x v="1"/>
    <n v="50"/>
  </r>
  <r>
    <x v="238"/>
    <x v="9"/>
    <m/>
    <s v="CO-109"/>
    <m/>
    <x v="1"/>
    <n v="8925.31"/>
    <x v="1"/>
    <n v="15"/>
  </r>
  <r>
    <x v="239"/>
    <x v="7"/>
    <m/>
    <s v="CO-97"/>
    <m/>
    <x v="4"/>
    <n v="10922.28"/>
    <x v="4"/>
    <n v="43"/>
  </r>
  <r>
    <x v="240"/>
    <x v="8"/>
    <m/>
    <s v="CO-4"/>
    <m/>
    <x v="2"/>
    <n v="6897.74"/>
    <x v="4"/>
    <n v="4"/>
  </r>
  <r>
    <x v="241"/>
    <x v="0"/>
    <m/>
    <s v="CO-29"/>
    <m/>
    <x v="7"/>
    <n v="6422.79"/>
    <x v="0"/>
    <n v="12"/>
  </r>
  <r>
    <x v="242"/>
    <x v="9"/>
    <m/>
    <s v="CO-50"/>
    <m/>
    <x v="0"/>
    <n v="4865.57"/>
    <x v="0"/>
    <n v="0"/>
  </r>
  <r>
    <x v="243"/>
    <x v="7"/>
    <m/>
    <s v="CO-96"/>
    <m/>
    <x v="5"/>
    <n v="8247.93"/>
    <x v="1"/>
    <n v="39"/>
  </r>
  <r>
    <x v="244"/>
    <x v="0"/>
    <m/>
    <s v="CO-4"/>
    <m/>
    <x v="2"/>
    <n v="6833.05"/>
    <x v="2"/>
    <n v="7"/>
  </r>
  <r>
    <x v="245"/>
    <x v="4"/>
    <m/>
    <s v="CO-109"/>
    <m/>
    <x v="1"/>
    <n v="10826.56"/>
    <x v="0"/>
    <n v="0"/>
  </r>
  <r>
    <x v="246"/>
    <x v="0"/>
    <m/>
    <s v="CO-18"/>
    <m/>
    <x v="4"/>
    <n v="12419.92"/>
    <x v="1"/>
    <n v="47"/>
  </r>
  <r>
    <x v="247"/>
    <x v="6"/>
    <m/>
    <s v="CO-18"/>
    <m/>
    <x v="4"/>
    <n v="6430.12"/>
    <x v="2"/>
    <n v="24"/>
  </r>
  <r>
    <x v="248"/>
    <x v="4"/>
    <m/>
    <s v="CO-45"/>
    <m/>
    <x v="6"/>
    <n v="1053.6400000000001"/>
    <x v="3"/>
    <n v="6"/>
  </r>
  <r>
    <x v="249"/>
    <x v="7"/>
    <m/>
    <s v="CO-50"/>
    <m/>
    <x v="0"/>
    <n v="11181.61"/>
    <x v="1"/>
    <n v="9"/>
  </r>
  <r>
    <x v="250"/>
    <x v="0"/>
    <m/>
    <s v="CO-97"/>
    <m/>
    <x v="4"/>
    <n v="8817.65"/>
    <x v="2"/>
    <n v="22"/>
  </r>
  <r>
    <x v="251"/>
    <x v="4"/>
    <m/>
    <s v="CO-29"/>
    <m/>
    <x v="7"/>
    <n v="5336.29"/>
    <x v="2"/>
    <n v="49"/>
  </r>
  <r>
    <x v="252"/>
    <x v="0"/>
    <m/>
    <s v="CO-97"/>
    <m/>
    <x v="4"/>
    <n v="14527.56"/>
    <x v="2"/>
    <n v="23"/>
  </r>
  <r>
    <x v="253"/>
    <x v="0"/>
    <m/>
    <s v="CO-96"/>
    <m/>
    <x v="5"/>
    <n v="7635.82"/>
    <x v="0"/>
    <n v="0"/>
  </r>
  <r>
    <x v="254"/>
    <x v="5"/>
    <m/>
    <s v="CO-18"/>
    <m/>
    <x v="4"/>
    <n v="12688.33"/>
    <x v="1"/>
    <n v="49"/>
  </r>
  <r>
    <x v="255"/>
    <x v="9"/>
    <m/>
    <s v="CO-96"/>
    <m/>
    <x v="5"/>
    <n v="3431.08"/>
    <x v="1"/>
    <n v="36"/>
  </r>
  <r>
    <x v="256"/>
    <x v="5"/>
    <m/>
    <s v="CO-96"/>
    <m/>
    <x v="5"/>
    <n v="10140.9"/>
    <x v="2"/>
    <n v="39"/>
  </r>
  <r>
    <x v="257"/>
    <x v="3"/>
    <m/>
    <s v="CO-97"/>
    <m/>
    <x v="4"/>
    <n v="2747.22"/>
    <x v="2"/>
    <n v="20"/>
  </r>
  <r>
    <x v="258"/>
    <x v="4"/>
    <m/>
    <s v="CO-18"/>
    <m/>
    <x v="4"/>
    <n v="141.28"/>
    <x v="3"/>
    <n v="37"/>
  </r>
  <r>
    <x v="259"/>
    <x v="0"/>
    <m/>
    <s v="CO-50"/>
    <m/>
    <x v="0"/>
    <n v="2171.0300000000002"/>
    <x v="2"/>
    <n v="2"/>
  </r>
  <r>
    <x v="260"/>
    <x v="6"/>
    <m/>
    <s v="CO-109"/>
    <m/>
    <x v="1"/>
    <n v="3266.24"/>
    <x v="1"/>
    <n v="22"/>
  </r>
  <r>
    <x v="261"/>
    <x v="9"/>
    <m/>
    <s v="CO-18"/>
    <m/>
    <x v="4"/>
    <n v="4708.9799999999996"/>
    <x v="1"/>
    <n v="37"/>
  </r>
  <r>
    <x v="262"/>
    <x v="0"/>
    <m/>
    <s v="CO-50"/>
    <m/>
    <x v="0"/>
    <n v="13255.97"/>
    <x v="0"/>
    <n v="0"/>
  </r>
  <r>
    <x v="263"/>
    <x v="8"/>
    <m/>
    <s v="CO-4"/>
    <m/>
    <x v="2"/>
    <n v="6674.54"/>
    <x v="1"/>
    <n v="39"/>
  </r>
  <r>
    <x v="264"/>
    <x v="3"/>
    <m/>
    <s v="CO-29"/>
    <m/>
    <x v="7"/>
    <n v="4133.84"/>
    <x v="3"/>
    <n v="8"/>
  </r>
  <r>
    <x v="265"/>
    <x v="8"/>
    <m/>
    <s v="CO-29"/>
    <m/>
    <x v="7"/>
    <n v="1707.8"/>
    <x v="2"/>
    <n v="38"/>
  </r>
  <r>
    <x v="266"/>
    <x v="2"/>
    <m/>
    <s v="CO-109"/>
    <m/>
    <x v="1"/>
    <n v="10023.629999999999"/>
    <x v="0"/>
    <n v="0"/>
  </r>
  <r>
    <x v="267"/>
    <x v="5"/>
    <m/>
    <s v="CO-16"/>
    <m/>
    <x v="2"/>
    <n v="4556.22"/>
    <x v="0"/>
    <n v="0"/>
  </r>
  <r>
    <x v="268"/>
    <x v="6"/>
    <m/>
    <s v="CO-18"/>
    <m/>
    <x v="4"/>
    <n v="1843.77"/>
    <x v="1"/>
    <n v="28"/>
  </r>
  <r>
    <x v="269"/>
    <x v="7"/>
    <m/>
    <s v="CO-197"/>
    <m/>
    <x v="3"/>
    <n v="5734.1"/>
    <x v="2"/>
    <n v="33"/>
  </r>
  <r>
    <x v="270"/>
    <x v="4"/>
    <m/>
    <s v="CO-18"/>
    <m/>
    <x v="4"/>
    <n v="1127.53"/>
    <x v="3"/>
    <n v="3"/>
  </r>
  <r>
    <x v="271"/>
    <x v="9"/>
    <m/>
    <s v="CO-97"/>
    <m/>
    <x v="4"/>
    <n v="6923.33"/>
    <x v="0"/>
    <n v="6"/>
  </r>
  <r>
    <x v="272"/>
    <x v="4"/>
    <m/>
    <s v="CO-29"/>
    <m/>
    <x v="7"/>
    <n v="10657.01"/>
    <x v="1"/>
    <n v="8"/>
  </r>
  <r>
    <x v="273"/>
    <x v="3"/>
    <m/>
    <s v="CO-97"/>
    <m/>
    <x v="4"/>
    <n v="14494.69"/>
    <x v="0"/>
    <n v="10"/>
  </r>
  <r>
    <x v="274"/>
    <x v="7"/>
    <m/>
    <s v="CO-50"/>
    <m/>
    <x v="0"/>
    <n v="6578.84"/>
    <x v="0"/>
    <n v="7"/>
  </r>
  <r>
    <x v="275"/>
    <x v="1"/>
    <m/>
    <s v="CO-50"/>
    <m/>
    <x v="0"/>
    <n v="5966.71"/>
    <x v="1"/>
    <n v="22"/>
  </r>
  <r>
    <x v="276"/>
    <x v="7"/>
    <m/>
    <s v="CO-18"/>
    <m/>
    <x v="4"/>
    <n v="11697.81"/>
    <x v="0"/>
    <n v="0"/>
  </r>
  <r>
    <x v="277"/>
    <x v="6"/>
    <m/>
    <s v="CO-109"/>
    <m/>
    <x v="1"/>
    <n v="2948.86"/>
    <x v="3"/>
    <n v="23"/>
  </r>
  <r>
    <x v="278"/>
    <x v="0"/>
    <m/>
    <s v="CO-16"/>
    <m/>
    <x v="2"/>
    <n v="1586.93"/>
    <x v="0"/>
    <n v="0"/>
  </r>
  <r>
    <x v="279"/>
    <x v="9"/>
    <m/>
    <s v="CO-197"/>
    <m/>
    <x v="3"/>
    <n v="14271.82"/>
    <x v="2"/>
    <n v="30"/>
  </r>
  <r>
    <x v="280"/>
    <x v="9"/>
    <m/>
    <s v="CO-96"/>
    <m/>
    <x v="5"/>
    <n v="6761.13"/>
    <x v="4"/>
    <n v="37"/>
  </r>
  <r>
    <x v="281"/>
    <x v="8"/>
    <m/>
    <s v="CO-18"/>
    <m/>
    <x v="4"/>
    <n v="12970.49"/>
    <x v="2"/>
    <n v="10"/>
  </r>
  <r>
    <x v="282"/>
    <x v="5"/>
    <m/>
    <s v="CO-50"/>
    <m/>
    <x v="0"/>
    <n v="7060.37"/>
    <x v="2"/>
    <n v="51"/>
  </r>
  <r>
    <x v="283"/>
    <x v="8"/>
    <m/>
    <s v="CO-96"/>
    <m/>
    <x v="5"/>
    <n v="889.77"/>
    <x v="1"/>
    <n v="20"/>
  </r>
  <r>
    <x v="284"/>
    <x v="0"/>
    <m/>
    <s v="CO-45"/>
    <m/>
    <x v="6"/>
    <n v="612.23"/>
    <x v="1"/>
    <n v="19"/>
  </r>
  <r>
    <x v="285"/>
    <x v="9"/>
    <m/>
    <s v="CO-50"/>
    <m/>
    <x v="0"/>
    <n v="9244.3799999999992"/>
    <x v="1"/>
    <n v="30"/>
  </r>
  <r>
    <x v="286"/>
    <x v="8"/>
    <m/>
    <s v="CO-109"/>
    <m/>
    <x v="1"/>
    <n v="14315.76"/>
    <x v="3"/>
    <n v="3"/>
  </r>
  <r>
    <x v="287"/>
    <x v="7"/>
    <m/>
    <s v="CO-96"/>
    <m/>
    <x v="5"/>
    <n v="9794.9699999999993"/>
    <x v="1"/>
    <n v="31"/>
  </r>
  <r>
    <x v="288"/>
    <x v="3"/>
    <m/>
    <s v="CO-197"/>
    <m/>
    <x v="3"/>
    <n v="14367.95"/>
    <x v="1"/>
    <n v="52"/>
  </r>
  <r>
    <x v="289"/>
    <x v="8"/>
    <m/>
    <s v="CO-50"/>
    <m/>
    <x v="0"/>
    <n v="7593.01"/>
    <x v="0"/>
    <n v="4"/>
  </r>
  <r>
    <x v="290"/>
    <x v="4"/>
    <m/>
    <s v="CO-109"/>
    <m/>
    <x v="1"/>
    <n v="7865.08"/>
    <x v="0"/>
    <n v="0"/>
  </r>
  <r>
    <x v="291"/>
    <x v="3"/>
    <m/>
    <s v="CO-29"/>
    <m/>
    <x v="7"/>
    <n v="11628.25"/>
    <x v="2"/>
    <n v="4"/>
  </r>
  <r>
    <x v="292"/>
    <x v="5"/>
    <m/>
    <s v="CO-50"/>
    <m/>
    <x v="0"/>
    <n v="4978.88"/>
    <x v="2"/>
    <n v="25"/>
  </r>
  <r>
    <x v="293"/>
    <x v="9"/>
    <m/>
    <s v="CO-4"/>
    <m/>
    <x v="2"/>
    <n v="10869.82"/>
    <x v="2"/>
    <n v="59"/>
  </r>
  <r>
    <x v="294"/>
    <x v="3"/>
    <m/>
    <s v="CO-197"/>
    <m/>
    <x v="3"/>
    <n v="5033.76"/>
    <x v="2"/>
    <n v="10"/>
  </r>
  <r>
    <x v="295"/>
    <x v="6"/>
    <m/>
    <s v="CO-4"/>
    <m/>
    <x v="2"/>
    <n v="14517.06"/>
    <x v="2"/>
    <n v="26"/>
  </r>
  <r>
    <x v="296"/>
    <x v="3"/>
    <m/>
    <s v="CO-96"/>
    <m/>
    <x v="5"/>
    <n v="10647.07"/>
    <x v="0"/>
    <n v="9"/>
  </r>
  <r>
    <x v="297"/>
    <x v="7"/>
    <m/>
    <s v="CO-197"/>
    <m/>
    <x v="3"/>
    <n v="10068.24"/>
    <x v="3"/>
    <n v="48"/>
  </r>
  <r>
    <x v="298"/>
    <x v="2"/>
    <m/>
    <s v="CO-50"/>
    <m/>
    <x v="0"/>
    <n v="9708.07"/>
    <x v="1"/>
    <n v="24"/>
  </r>
  <r>
    <x v="299"/>
    <x v="8"/>
    <m/>
    <s v="CO-18"/>
    <m/>
    <x v="4"/>
    <n v="4667.55"/>
    <x v="4"/>
    <n v="22"/>
  </r>
  <r>
    <x v="300"/>
    <x v="0"/>
    <m/>
    <s v="CO-16"/>
    <m/>
    <x v="2"/>
    <n v="3436.82"/>
    <x v="0"/>
    <n v="0"/>
  </r>
  <r>
    <x v="301"/>
    <x v="7"/>
    <m/>
    <s v="CO-109"/>
    <m/>
    <x v="1"/>
    <n v="11574.58"/>
    <x v="3"/>
    <n v="57"/>
  </r>
  <r>
    <x v="302"/>
    <x v="6"/>
    <m/>
    <s v="CO-97"/>
    <m/>
    <x v="4"/>
    <n v="9945.84"/>
    <x v="3"/>
    <n v="40"/>
  </r>
  <r>
    <x v="303"/>
    <x v="8"/>
    <m/>
    <s v="CO-96"/>
    <m/>
    <x v="5"/>
    <n v="5681.96"/>
    <x v="0"/>
    <n v="0"/>
  </r>
  <r>
    <x v="304"/>
    <x v="8"/>
    <m/>
    <s v="CO-97"/>
    <m/>
    <x v="4"/>
    <n v="6192.34"/>
    <x v="2"/>
    <n v="16"/>
  </r>
  <r>
    <x v="305"/>
    <x v="1"/>
    <m/>
    <s v="CO-96"/>
    <m/>
    <x v="5"/>
    <n v="4309.67"/>
    <x v="3"/>
    <n v="29"/>
  </r>
  <r>
    <x v="306"/>
    <x v="8"/>
    <m/>
    <s v="CO-109"/>
    <m/>
    <x v="1"/>
    <n v="3625.57"/>
    <x v="4"/>
    <n v="51"/>
  </r>
  <r>
    <x v="307"/>
    <x v="8"/>
    <m/>
    <s v="CO-16"/>
    <m/>
    <x v="2"/>
    <n v="5549.22"/>
    <x v="4"/>
    <n v="29"/>
  </r>
  <r>
    <x v="308"/>
    <x v="6"/>
    <m/>
    <s v="CO-4"/>
    <m/>
    <x v="2"/>
    <n v="11682.95"/>
    <x v="1"/>
    <n v="27"/>
  </r>
  <r>
    <x v="309"/>
    <x v="8"/>
    <m/>
    <s v="CO-16"/>
    <m/>
    <x v="2"/>
    <n v="12028.83"/>
    <x v="0"/>
    <n v="0"/>
  </r>
  <r>
    <x v="310"/>
    <x v="5"/>
    <m/>
    <s v="CO-18"/>
    <m/>
    <x v="4"/>
    <n v="8340.3799999999992"/>
    <x v="0"/>
    <n v="0"/>
  </r>
  <r>
    <x v="311"/>
    <x v="4"/>
    <m/>
    <s v="CO-50"/>
    <m/>
    <x v="0"/>
    <n v="11458.6"/>
    <x v="0"/>
    <n v="0"/>
  </r>
  <r>
    <x v="312"/>
    <x v="2"/>
    <m/>
    <s v="CO-50"/>
    <m/>
    <x v="0"/>
    <n v="14198.88"/>
    <x v="0"/>
    <n v="0"/>
  </r>
  <r>
    <x v="313"/>
    <x v="4"/>
    <m/>
    <s v="CO-29"/>
    <m/>
    <x v="7"/>
    <n v="846.19"/>
    <x v="1"/>
    <n v="16"/>
  </r>
  <r>
    <x v="314"/>
    <x v="3"/>
    <m/>
    <s v="CO-50"/>
    <m/>
    <x v="0"/>
    <n v="5654.94"/>
    <x v="0"/>
    <n v="0"/>
  </r>
  <r>
    <x v="315"/>
    <x v="8"/>
    <m/>
    <s v="CO-197"/>
    <m/>
    <x v="3"/>
    <n v="2107.11"/>
    <x v="1"/>
    <n v="54"/>
  </r>
  <r>
    <x v="316"/>
    <x v="2"/>
    <m/>
    <s v="CO-197"/>
    <m/>
    <x v="3"/>
    <n v="11394.68"/>
    <x v="1"/>
    <n v="40"/>
  </r>
  <r>
    <x v="317"/>
    <x v="0"/>
    <m/>
    <s v="CO-50"/>
    <m/>
    <x v="0"/>
    <n v="334.11"/>
    <x v="0"/>
    <n v="3"/>
  </r>
  <r>
    <x v="318"/>
    <x v="9"/>
    <m/>
    <s v="CO-4"/>
    <m/>
    <x v="2"/>
    <n v="3602.72"/>
    <x v="0"/>
    <n v="4"/>
  </r>
  <r>
    <x v="319"/>
    <x v="9"/>
    <m/>
    <s v="CO-45"/>
    <m/>
    <x v="6"/>
    <n v="988.97"/>
    <x v="3"/>
    <n v="32"/>
  </r>
  <r>
    <x v="320"/>
    <x v="6"/>
    <m/>
    <s v="CO-109"/>
    <m/>
    <x v="1"/>
    <n v="295.70999999999998"/>
    <x v="1"/>
    <n v="16"/>
  </r>
  <r>
    <x v="321"/>
    <x v="9"/>
    <m/>
    <s v="CO-4"/>
    <m/>
    <x v="2"/>
    <n v="6467.12"/>
    <x v="2"/>
    <n v="16"/>
  </r>
  <r>
    <x v="322"/>
    <x v="3"/>
    <m/>
    <s v="CO-29"/>
    <m/>
    <x v="7"/>
    <n v="2850.34"/>
    <x v="2"/>
    <n v="34"/>
  </r>
  <r>
    <x v="323"/>
    <x v="7"/>
    <m/>
    <s v="CO-50"/>
    <m/>
    <x v="0"/>
    <n v="14303.38"/>
    <x v="1"/>
    <n v="51"/>
  </r>
  <r>
    <x v="324"/>
    <x v="4"/>
    <m/>
    <s v="CO-109"/>
    <m/>
    <x v="1"/>
    <n v="354"/>
    <x v="3"/>
    <n v="3"/>
  </r>
  <r>
    <x v="325"/>
    <x v="3"/>
    <m/>
    <s v="CO-18"/>
    <m/>
    <x v="4"/>
    <n v="3842.07"/>
    <x v="0"/>
    <n v="0"/>
  </r>
  <r>
    <x v="326"/>
    <x v="9"/>
    <m/>
    <s v="CO-16"/>
    <m/>
    <x v="2"/>
    <n v="11007.47"/>
    <x v="2"/>
    <n v="50"/>
  </r>
  <r>
    <x v="327"/>
    <x v="6"/>
    <m/>
    <s v="CO-18"/>
    <m/>
    <x v="4"/>
    <n v="2044.47"/>
    <x v="1"/>
    <n v="22"/>
  </r>
  <r>
    <x v="328"/>
    <x v="6"/>
    <m/>
    <s v="CO-45"/>
    <m/>
    <x v="6"/>
    <n v="14713.25"/>
    <x v="1"/>
    <n v="12"/>
  </r>
  <r>
    <x v="329"/>
    <x v="5"/>
    <m/>
    <s v="CO-50"/>
    <m/>
    <x v="0"/>
    <n v="10754.87"/>
    <x v="4"/>
    <n v="3"/>
  </r>
  <r>
    <x v="330"/>
    <x v="5"/>
    <m/>
    <s v="CO-16"/>
    <m/>
    <x v="2"/>
    <n v="704.9"/>
    <x v="0"/>
    <n v="0"/>
  </r>
  <r>
    <x v="331"/>
    <x v="5"/>
    <m/>
    <s v="CO-109"/>
    <m/>
    <x v="1"/>
    <n v="6003.45"/>
    <x v="3"/>
    <n v="31"/>
  </r>
  <r>
    <x v="332"/>
    <x v="3"/>
    <m/>
    <s v="CO-97"/>
    <m/>
    <x v="4"/>
    <n v="11311.7"/>
    <x v="0"/>
    <n v="0"/>
  </r>
  <r>
    <x v="333"/>
    <x v="4"/>
    <m/>
    <s v="CO-4"/>
    <m/>
    <x v="2"/>
    <n v="1910.9"/>
    <x v="1"/>
    <n v="57"/>
  </r>
  <r>
    <x v="334"/>
    <x v="8"/>
    <m/>
    <s v="CO-45"/>
    <m/>
    <x v="6"/>
    <n v="13424.83"/>
    <x v="1"/>
    <n v="12"/>
  </r>
  <r>
    <x v="335"/>
    <x v="0"/>
    <m/>
    <s v="CO-45"/>
    <m/>
    <x v="6"/>
    <n v="5541.84"/>
    <x v="3"/>
    <n v="18"/>
  </r>
  <r>
    <x v="336"/>
    <x v="6"/>
    <m/>
    <s v="CO-29"/>
    <m/>
    <x v="7"/>
    <n v="1229.96"/>
    <x v="2"/>
    <n v="53"/>
  </r>
  <r>
    <x v="337"/>
    <x v="5"/>
    <m/>
    <s v="CO-109"/>
    <m/>
    <x v="1"/>
    <n v="4441.8100000000004"/>
    <x v="0"/>
    <n v="0"/>
  </r>
  <r>
    <x v="338"/>
    <x v="8"/>
    <m/>
    <s v="CO-45"/>
    <m/>
    <x v="6"/>
    <n v="9059.19"/>
    <x v="1"/>
    <n v="45"/>
  </r>
  <r>
    <x v="339"/>
    <x v="3"/>
    <m/>
    <s v="CO-18"/>
    <m/>
    <x v="4"/>
    <n v="6734.59"/>
    <x v="3"/>
    <n v="59"/>
  </r>
  <r>
    <x v="340"/>
    <x v="0"/>
    <m/>
    <s v="CO-96"/>
    <m/>
    <x v="5"/>
    <n v="14972.35"/>
    <x v="0"/>
    <n v="0"/>
  </r>
  <r>
    <x v="341"/>
    <x v="6"/>
    <m/>
    <s v="CO-29"/>
    <m/>
    <x v="7"/>
    <n v="5481.5"/>
    <x v="3"/>
    <n v="44"/>
  </r>
  <r>
    <x v="342"/>
    <x v="8"/>
    <m/>
    <s v="CO-97"/>
    <m/>
    <x v="4"/>
    <n v="2184.5500000000002"/>
    <x v="2"/>
    <n v="51"/>
  </r>
  <r>
    <x v="343"/>
    <x v="3"/>
    <m/>
    <s v="CO-97"/>
    <m/>
    <x v="4"/>
    <n v="1937.14"/>
    <x v="0"/>
    <n v="0"/>
  </r>
  <r>
    <x v="344"/>
    <x v="3"/>
    <m/>
    <s v="CO-29"/>
    <m/>
    <x v="7"/>
    <n v="14244.53"/>
    <x v="0"/>
    <n v="3"/>
  </r>
  <r>
    <x v="345"/>
    <x v="4"/>
    <m/>
    <s v="CO-18"/>
    <m/>
    <x v="4"/>
    <n v="6686.89"/>
    <x v="0"/>
    <n v="0"/>
  </r>
  <r>
    <x v="346"/>
    <x v="6"/>
    <m/>
    <s v="CO-18"/>
    <m/>
    <x v="4"/>
    <n v="9760.93"/>
    <x v="0"/>
    <n v="0"/>
  </r>
  <r>
    <x v="347"/>
    <x v="5"/>
    <m/>
    <s v="CO-45"/>
    <m/>
    <x v="6"/>
    <n v="7790.29"/>
    <x v="4"/>
    <n v="8"/>
  </r>
  <r>
    <x v="348"/>
    <x v="8"/>
    <m/>
    <s v="CO-4"/>
    <m/>
    <x v="2"/>
    <n v="10575.37"/>
    <x v="0"/>
    <n v="0"/>
  </r>
  <r>
    <x v="349"/>
    <x v="6"/>
    <m/>
    <s v="CO-16"/>
    <m/>
    <x v="2"/>
    <n v="1883.43"/>
    <x v="3"/>
    <n v="29"/>
  </r>
  <r>
    <x v="350"/>
    <x v="3"/>
    <m/>
    <s v="CO-45"/>
    <m/>
    <x v="6"/>
    <n v="14959.07"/>
    <x v="3"/>
    <n v="55"/>
  </r>
  <r>
    <x v="351"/>
    <x v="5"/>
    <m/>
    <s v="CO-18"/>
    <m/>
    <x v="4"/>
    <n v="10657.63"/>
    <x v="1"/>
    <n v="19"/>
  </r>
  <r>
    <x v="352"/>
    <x v="6"/>
    <m/>
    <s v="CO-197"/>
    <m/>
    <x v="3"/>
    <n v="10691.55"/>
    <x v="4"/>
    <n v="41"/>
  </r>
  <r>
    <x v="353"/>
    <x v="1"/>
    <m/>
    <s v="CO-18"/>
    <m/>
    <x v="4"/>
    <n v="7655.9"/>
    <x v="0"/>
    <n v="0"/>
  </r>
  <r>
    <x v="354"/>
    <x v="8"/>
    <m/>
    <s v="CO-45"/>
    <m/>
    <x v="6"/>
    <n v="442.95"/>
    <x v="2"/>
    <n v="24"/>
  </r>
  <r>
    <x v="355"/>
    <x v="5"/>
    <m/>
    <s v="CO-109"/>
    <m/>
    <x v="1"/>
    <n v="1990.08"/>
    <x v="4"/>
    <n v="5"/>
  </r>
  <r>
    <x v="356"/>
    <x v="4"/>
    <m/>
    <s v="CO-29"/>
    <m/>
    <x v="7"/>
    <n v="14993.95"/>
    <x v="2"/>
    <n v="34"/>
  </r>
  <r>
    <x v="357"/>
    <x v="8"/>
    <m/>
    <s v="CO-29"/>
    <m/>
    <x v="7"/>
    <n v="12358.92"/>
    <x v="0"/>
    <n v="0"/>
  </r>
  <r>
    <x v="358"/>
    <x v="7"/>
    <m/>
    <s v="CO-45"/>
    <m/>
    <x v="6"/>
    <n v="10217.629999999999"/>
    <x v="1"/>
    <n v="57"/>
  </r>
  <r>
    <x v="359"/>
    <x v="7"/>
    <m/>
    <s v="CO-96"/>
    <m/>
    <x v="5"/>
    <n v="2770.35"/>
    <x v="4"/>
    <n v="28"/>
  </r>
  <r>
    <x v="360"/>
    <x v="6"/>
    <m/>
    <s v="CO-97"/>
    <m/>
    <x v="4"/>
    <n v="12479.29"/>
    <x v="1"/>
    <n v="20"/>
  </r>
  <r>
    <x v="361"/>
    <x v="7"/>
    <m/>
    <s v="CO-197"/>
    <m/>
    <x v="3"/>
    <n v="4873.78"/>
    <x v="2"/>
    <n v="23"/>
  </r>
  <r>
    <x v="362"/>
    <x v="6"/>
    <m/>
    <s v="CO-4"/>
    <m/>
    <x v="2"/>
    <n v="12696.71"/>
    <x v="0"/>
    <n v="0"/>
  </r>
  <r>
    <x v="363"/>
    <x v="9"/>
    <m/>
    <s v="CO-4"/>
    <m/>
    <x v="2"/>
    <n v="9235.7000000000007"/>
    <x v="0"/>
    <n v="0"/>
  </r>
  <r>
    <x v="364"/>
    <x v="9"/>
    <m/>
    <s v="CO-96"/>
    <m/>
    <x v="5"/>
    <n v="2355.1999999999998"/>
    <x v="2"/>
    <n v="47"/>
  </r>
  <r>
    <x v="365"/>
    <x v="2"/>
    <m/>
    <s v="CO-18"/>
    <m/>
    <x v="4"/>
    <n v="12645.82"/>
    <x v="2"/>
    <n v="53"/>
  </r>
  <r>
    <x v="366"/>
    <x v="5"/>
    <m/>
    <s v="CO-50"/>
    <m/>
    <x v="0"/>
    <n v="729.65"/>
    <x v="2"/>
    <n v="37"/>
  </r>
  <r>
    <x v="367"/>
    <x v="2"/>
    <m/>
    <s v="CO-16"/>
    <m/>
    <x v="2"/>
    <n v="11516.04"/>
    <x v="1"/>
    <n v="41"/>
  </r>
  <r>
    <x v="368"/>
    <x v="5"/>
    <m/>
    <s v="CO-45"/>
    <m/>
    <x v="6"/>
    <n v="13340.5"/>
    <x v="1"/>
    <n v="42"/>
  </r>
  <r>
    <x v="369"/>
    <x v="5"/>
    <m/>
    <s v="CO-45"/>
    <m/>
    <x v="6"/>
    <n v="3710.92"/>
    <x v="3"/>
    <n v="26"/>
  </r>
  <r>
    <x v="370"/>
    <x v="8"/>
    <m/>
    <s v="CO-45"/>
    <m/>
    <x v="6"/>
    <n v="1140.95"/>
    <x v="0"/>
    <n v="8"/>
  </r>
  <r>
    <x v="371"/>
    <x v="3"/>
    <m/>
    <s v="CO-45"/>
    <m/>
    <x v="6"/>
    <n v="3100.14"/>
    <x v="2"/>
    <n v="21"/>
  </r>
  <r>
    <x v="372"/>
    <x v="3"/>
    <m/>
    <s v="CO-18"/>
    <m/>
    <x v="4"/>
    <n v="14631.84"/>
    <x v="0"/>
    <n v="0"/>
  </r>
  <r>
    <x v="373"/>
    <x v="0"/>
    <m/>
    <s v="CO-16"/>
    <m/>
    <x v="2"/>
    <n v="7023.76"/>
    <x v="0"/>
    <n v="0"/>
  </r>
  <r>
    <x v="374"/>
    <x v="4"/>
    <m/>
    <s v="CO-97"/>
    <m/>
    <x v="4"/>
    <n v="4388.67"/>
    <x v="1"/>
    <n v="40"/>
  </r>
  <r>
    <x v="375"/>
    <x v="3"/>
    <m/>
    <s v="CO-16"/>
    <m/>
    <x v="2"/>
    <n v="14442.15"/>
    <x v="4"/>
    <n v="53"/>
  </r>
  <r>
    <x v="376"/>
    <x v="7"/>
    <m/>
    <s v="CO-96"/>
    <m/>
    <x v="5"/>
    <n v="10830.87"/>
    <x v="0"/>
    <n v="3"/>
  </r>
  <r>
    <x v="377"/>
    <x v="0"/>
    <m/>
    <s v="CO-45"/>
    <m/>
    <x v="6"/>
    <n v="7506.46"/>
    <x v="1"/>
    <n v="2"/>
  </r>
  <r>
    <x v="378"/>
    <x v="9"/>
    <m/>
    <s v="CO-29"/>
    <m/>
    <x v="7"/>
    <n v="7606.39"/>
    <x v="4"/>
    <n v="14"/>
  </r>
  <r>
    <x v="379"/>
    <x v="8"/>
    <m/>
    <s v="CO-18"/>
    <m/>
    <x v="4"/>
    <n v="777.44"/>
    <x v="1"/>
    <n v="39"/>
  </r>
  <r>
    <x v="380"/>
    <x v="6"/>
    <m/>
    <s v="CO-4"/>
    <m/>
    <x v="2"/>
    <n v="8073.53"/>
    <x v="3"/>
    <n v="28"/>
  </r>
  <r>
    <x v="381"/>
    <x v="2"/>
    <m/>
    <s v="CO-4"/>
    <m/>
    <x v="2"/>
    <n v="10926.25"/>
    <x v="3"/>
    <n v="24"/>
  </r>
  <r>
    <x v="382"/>
    <x v="7"/>
    <m/>
    <s v="CO-29"/>
    <m/>
    <x v="7"/>
    <n v="814.81"/>
    <x v="2"/>
    <n v="24"/>
  </r>
  <r>
    <x v="383"/>
    <x v="7"/>
    <m/>
    <s v="CO-4"/>
    <m/>
    <x v="2"/>
    <n v="1149.3"/>
    <x v="1"/>
    <n v="49"/>
  </r>
  <r>
    <x v="384"/>
    <x v="0"/>
    <m/>
    <s v="CO-4"/>
    <m/>
    <x v="2"/>
    <n v="12388.4"/>
    <x v="2"/>
    <n v="40"/>
  </r>
  <r>
    <x v="385"/>
    <x v="3"/>
    <m/>
    <s v="CO-197"/>
    <m/>
    <x v="3"/>
    <n v="14627.49"/>
    <x v="1"/>
    <n v="51"/>
  </r>
  <r>
    <x v="386"/>
    <x v="9"/>
    <m/>
    <s v="CO-109"/>
    <m/>
    <x v="1"/>
    <n v="14087.28"/>
    <x v="3"/>
    <n v="13"/>
  </r>
  <r>
    <x v="387"/>
    <x v="3"/>
    <m/>
    <s v="CO-109"/>
    <m/>
    <x v="1"/>
    <n v="6050.74"/>
    <x v="0"/>
    <n v="0"/>
  </r>
  <r>
    <x v="388"/>
    <x v="3"/>
    <m/>
    <s v="CO-45"/>
    <m/>
    <x v="6"/>
    <n v="7814.02"/>
    <x v="0"/>
    <n v="0"/>
  </r>
  <r>
    <x v="389"/>
    <x v="5"/>
    <m/>
    <s v="CO-96"/>
    <m/>
    <x v="5"/>
    <n v="4812.0200000000004"/>
    <x v="1"/>
    <n v="40"/>
  </r>
  <r>
    <x v="390"/>
    <x v="8"/>
    <m/>
    <s v="CO-96"/>
    <m/>
    <x v="5"/>
    <n v="5078.78"/>
    <x v="3"/>
    <n v="35"/>
  </r>
  <r>
    <x v="391"/>
    <x v="3"/>
    <m/>
    <s v="CO-96"/>
    <m/>
    <x v="5"/>
    <n v="4531.87"/>
    <x v="3"/>
    <n v="24"/>
  </r>
  <r>
    <x v="392"/>
    <x v="2"/>
    <m/>
    <s v="CO-50"/>
    <m/>
    <x v="0"/>
    <n v="14699.48"/>
    <x v="2"/>
    <n v="51"/>
  </r>
  <r>
    <x v="393"/>
    <x v="9"/>
    <m/>
    <s v="CO-96"/>
    <m/>
    <x v="5"/>
    <n v="7145.12"/>
    <x v="4"/>
    <n v="51"/>
  </r>
  <r>
    <x v="394"/>
    <x v="7"/>
    <m/>
    <s v="CO-96"/>
    <m/>
    <x v="5"/>
    <n v="3451.77"/>
    <x v="0"/>
    <n v="0"/>
  </r>
  <r>
    <x v="395"/>
    <x v="1"/>
    <m/>
    <s v="CO-96"/>
    <m/>
    <x v="5"/>
    <n v="11630.36"/>
    <x v="1"/>
    <n v="53"/>
  </r>
  <r>
    <x v="396"/>
    <x v="2"/>
    <m/>
    <s v="CO-97"/>
    <m/>
    <x v="4"/>
    <n v="8609.93"/>
    <x v="2"/>
    <n v="13"/>
  </r>
  <r>
    <x v="397"/>
    <x v="4"/>
    <m/>
    <s v="CO-45"/>
    <m/>
    <x v="6"/>
    <n v="4739.7"/>
    <x v="0"/>
    <n v="0"/>
  </r>
  <r>
    <x v="398"/>
    <x v="2"/>
    <m/>
    <s v="CO-109"/>
    <m/>
    <x v="1"/>
    <n v="11635.84"/>
    <x v="4"/>
    <n v="56"/>
  </r>
  <r>
    <x v="399"/>
    <x v="8"/>
    <m/>
    <s v="CO-197"/>
    <m/>
    <x v="3"/>
    <n v="7804.31"/>
    <x v="2"/>
    <n v="43"/>
  </r>
  <r>
    <x v="400"/>
    <x v="7"/>
    <m/>
    <s v="CO-109"/>
    <m/>
    <x v="1"/>
    <n v="5683.53"/>
    <x v="4"/>
    <n v="30"/>
  </r>
  <r>
    <x v="401"/>
    <x v="5"/>
    <m/>
    <s v="CO-18"/>
    <m/>
    <x v="4"/>
    <n v="8216.7800000000007"/>
    <x v="2"/>
    <n v="56"/>
  </r>
  <r>
    <x v="402"/>
    <x v="7"/>
    <m/>
    <s v="CO-96"/>
    <m/>
    <x v="5"/>
    <n v="7288.49"/>
    <x v="4"/>
    <n v="18"/>
  </r>
  <r>
    <x v="403"/>
    <x v="5"/>
    <m/>
    <s v="CO-4"/>
    <m/>
    <x v="2"/>
    <n v="3411.76"/>
    <x v="4"/>
    <n v="20"/>
  </r>
  <r>
    <x v="404"/>
    <x v="3"/>
    <m/>
    <s v="CO-16"/>
    <m/>
    <x v="2"/>
    <n v="10369.09"/>
    <x v="1"/>
    <n v="31"/>
  </r>
  <r>
    <x v="405"/>
    <x v="5"/>
    <m/>
    <s v="CO-109"/>
    <m/>
    <x v="1"/>
    <n v="14008.82"/>
    <x v="3"/>
    <n v="18"/>
  </r>
  <r>
    <x v="406"/>
    <x v="4"/>
    <m/>
    <s v="CO-50"/>
    <m/>
    <x v="0"/>
    <n v="8623.48"/>
    <x v="1"/>
    <n v="58"/>
  </r>
  <r>
    <x v="407"/>
    <x v="2"/>
    <m/>
    <s v="CO-18"/>
    <m/>
    <x v="4"/>
    <n v="14321.4"/>
    <x v="3"/>
    <n v="19"/>
  </r>
  <r>
    <x v="408"/>
    <x v="5"/>
    <m/>
    <s v="CO-4"/>
    <m/>
    <x v="2"/>
    <n v="14331.94"/>
    <x v="0"/>
    <n v="15"/>
  </r>
  <r>
    <x v="409"/>
    <x v="7"/>
    <m/>
    <s v="CO-45"/>
    <m/>
    <x v="6"/>
    <n v="3249.1"/>
    <x v="3"/>
    <n v="18"/>
  </r>
  <r>
    <x v="410"/>
    <x v="1"/>
    <m/>
    <s v="CO-4"/>
    <m/>
    <x v="2"/>
    <n v="2102.23"/>
    <x v="2"/>
    <n v="38"/>
  </r>
  <r>
    <x v="411"/>
    <x v="1"/>
    <m/>
    <s v="CO-16"/>
    <m/>
    <x v="2"/>
    <n v="808.94"/>
    <x v="4"/>
    <n v="15"/>
  </r>
  <r>
    <x v="412"/>
    <x v="0"/>
    <m/>
    <s v="CO-97"/>
    <m/>
    <x v="4"/>
    <n v="1547.96"/>
    <x v="1"/>
    <n v="31"/>
  </r>
  <r>
    <x v="413"/>
    <x v="6"/>
    <m/>
    <s v="CO-197"/>
    <m/>
    <x v="3"/>
    <n v="127.46"/>
    <x v="2"/>
    <n v="60"/>
  </r>
  <r>
    <x v="414"/>
    <x v="8"/>
    <m/>
    <s v="CO-29"/>
    <m/>
    <x v="7"/>
    <n v="9810.75"/>
    <x v="4"/>
    <n v="31"/>
  </r>
  <r>
    <x v="415"/>
    <x v="2"/>
    <m/>
    <s v="CO-16"/>
    <m/>
    <x v="2"/>
    <n v="11350.87"/>
    <x v="1"/>
    <n v="19"/>
  </r>
  <r>
    <x v="416"/>
    <x v="6"/>
    <m/>
    <s v="CO-50"/>
    <m/>
    <x v="0"/>
    <n v="9801.8700000000008"/>
    <x v="0"/>
    <n v="0"/>
  </r>
  <r>
    <x v="417"/>
    <x v="4"/>
    <m/>
    <s v="CO-29"/>
    <m/>
    <x v="7"/>
    <n v="13239.56"/>
    <x v="0"/>
    <n v="0"/>
  </r>
  <r>
    <x v="418"/>
    <x v="5"/>
    <m/>
    <s v="CO-45"/>
    <m/>
    <x v="6"/>
    <n v="2835.36"/>
    <x v="3"/>
    <n v="56"/>
  </r>
  <r>
    <x v="419"/>
    <x v="3"/>
    <m/>
    <s v="CO-97"/>
    <m/>
    <x v="4"/>
    <n v="188.54"/>
    <x v="2"/>
    <n v="7"/>
  </r>
  <r>
    <x v="420"/>
    <x v="8"/>
    <m/>
    <s v="CO-4"/>
    <m/>
    <x v="2"/>
    <n v="6842.52"/>
    <x v="2"/>
    <n v="34"/>
  </r>
  <r>
    <x v="421"/>
    <x v="0"/>
    <m/>
    <s v="CO-197"/>
    <m/>
    <x v="3"/>
    <n v="12773.34"/>
    <x v="1"/>
    <n v="13"/>
  </r>
  <r>
    <x v="422"/>
    <x v="6"/>
    <m/>
    <s v="CO-18"/>
    <m/>
    <x v="4"/>
    <n v="2479.29"/>
    <x v="1"/>
    <n v="17"/>
  </r>
  <r>
    <x v="423"/>
    <x v="1"/>
    <m/>
    <s v="CO-97"/>
    <m/>
    <x v="4"/>
    <n v="11062.44"/>
    <x v="3"/>
    <n v="37"/>
  </r>
  <r>
    <x v="424"/>
    <x v="4"/>
    <m/>
    <s v="CO-197"/>
    <m/>
    <x v="3"/>
    <n v="9183.77"/>
    <x v="2"/>
    <n v="26"/>
  </r>
  <r>
    <x v="425"/>
    <x v="6"/>
    <m/>
    <s v="CO-109"/>
    <m/>
    <x v="1"/>
    <n v="4952.5"/>
    <x v="1"/>
    <n v="7"/>
  </r>
  <r>
    <x v="426"/>
    <x v="5"/>
    <m/>
    <s v="CO-197"/>
    <m/>
    <x v="3"/>
    <n v="7187.94"/>
    <x v="4"/>
    <n v="1"/>
  </r>
  <r>
    <x v="427"/>
    <x v="5"/>
    <m/>
    <s v="CO-29"/>
    <m/>
    <x v="7"/>
    <n v="3571.04"/>
    <x v="3"/>
    <n v="22"/>
  </r>
  <r>
    <x v="428"/>
    <x v="1"/>
    <m/>
    <s v="CO-96"/>
    <m/>
    <x v="5"/>
    <n v="10857.09"/>
    <x v="0"/>
    <n v="0"/>
  </r>
  <r>
    <x v="429"/>
    <x v="4"/>
    <m/>
    <s v="CO-97"/>
    <m/>
    <x v="4"/>
    <n v="10033.4"/>
    <x v="1"/>
    <n v="11"/>
  </r>
  <r>
    <x v="430"/>
    <x v="5"/>
    <m/>
    <s v="CO-109"/>
    <m/>
    <x v="1"/>
    <n v="13850.43"/>
    <x v="4"/>
    <n v="50"/>
  </r>
  <r>
    <x v="431"/>
    <x v="9"/>
    <m/>
    <s v="CO-50"/>
    <m/>
    <x v="0"/>
    <n v="9598.73"/>
    <x v="4"/>
    <n v="24"/>
  </r>
  <r>
    <x v="432"/>
    <x v="9"/>
    <m/>
    <s v="CO-16"/>
    <m/>
    <x v="2"/>
    <n v="3325.97"/>
    <x v="0"/>
    <n v="3"/>
  </r>
  <r>
    <x v="433"/>
    <x v="7"/>
    <m/>
    <s v="CO-18"/>
    <m/>
    <x v="4"/>
    <n v="6266.89"/>
    <x v="1"/>
    <n v="31"/>
  </r>
  <r>
    <x v="434"/>
    <x v="0"/>
    <m/>
    <s v="CO-16"/>
    <m/>
    <x v="2"/>
    <n v="11439.8"/>
    <x v="2"/>
    <n v="39"/>
  </r>
  <r>
    <x v="435"/>
    <x v="9"/>
    <m/>
    <s v="CO-109"/>
    <m/>
    <x v="1"/>
    <n v="6728.88"/>
    <x v="2"/>
    <n v="5"/>
  </r>
  <r>
    <x v="436"/>
    <x v="1"/>
    <m/>
    <s v="CO-50"/>
    <m/>
    <x v="0"/>
    <n v="973.28"/>
    <x v="1"/>
    <n v="33"/>
  </r>
  <r>
    <x v="437"/>
    <x v="0"/>
    <m/>
    <s v="CO-96"/>
    <m/>
    <x v="5"/>
    <n v="8073.07"/>
    <x v="0"/>
    <n v="14"/>
  </r>
  <r>
    <x v="438"/>
    <x v="7"/>
    <m/>
    <s v="CO-16"/>
    <m/>
    <x v="2"/>
    <n v="10767.92"/>
    <x v="1"/>
    <n v="58"/>
  </r>
  <r>
    <x v="439"/>
    <x v="4"/>
    <m/>
    <s v="CO-45"/>
    <m/>
    <x v="6"/>
    <n v="12139.95"/>
    <x v="1"/>
    <n v="33"/>
  </r>
  <r>
    <x v="440"/>
    <x v="5"/>
    <m/>
    <s v="CO-45"/>
    <m/>
    <x v="6"/>
    <n v="8480.4699999999993"/>
    <x v="2"/>
    <n v="44"/>
  </r>
  <r>
    <x v="441"/>
    <x v="1"/>
    <m/>
    <s v="CO-97"/>
    <m/>
    <x v="4"/>
    <n v="5969.43"/>
    <x v="3"/>
    <n v="48"/>
  </r>
  <r>
    <x v="442"/>
    <x v="0"/>
    <m/>
    <s v="CO-96"/>
    <m/>
    <x v="5"/>
    <n v="1141.79"/>
    <x v="1"/>
    <n v="45"/>
  </r>
  <r>
    <x v="443"/>
    <x v="8"/>
    <m/>
    <s v="CO-109"/>
    <m/>
    <x v="1"/>
    <n v="14912.15"/>
    <x v="4"/>
    <n v="5"/>
  </r>
  <r>
    <x v="444"/>
    <x v="3"/>
    <m/>
    <s v="CO-97"/>
    <m/>
    <x v="4"/>
    <n v="4342.01"/>
    <x v="0"/>
    <n v="3"/>
  </r>
  <r>
    <x v="445"/>
    <x v="4"/>
    <m/>
    <s v="CO-29"/>
    <m/>
    <x v="7"/>
    <n v="6755.63"/>
    <x v="4"/>
    <n v="25"/>
  </r>
  <r>
    <x v="446"/>
    <x v="6"/>
    <m/>
    <s v="CO-50"/>
    <m/>
    <x v="0"/>
    <n v="10256.82"/>
    <x v="2"/>
    <n v="35"/>
  </r>
  <r>
    <x v="447"/>
    <x v="7"/>
    <m/>
    <s v="CO-18"/>
    <m/>
    <x v="4"/>
    <n v="1823.57"/>
    <x v="4"/>
    <n v="26"/>
  </r>
  <r>
    <x v="448"/>
    <x v="5"/>
    <m/>
    <s v="CO-197"/>
    <m/>
    <x v="3"/>
    <n v="10931.48"/>
    <x v="0"/>
    <n v="0"/>
  </r>
  <r>
    <x v="449"/>
    <x v="4"/>
    <m/>
    <s v="CO-45"/>
    <m/>
    <x v="6"/>
    <n v="10118.82"/>
    <x v="1"/>
    <n v="35"/>
  </r>
  <r>
    <x v="450"/>
    <x v="1"/>
    <m/>
    <s v="CO-16"/>
    <m/>
    <x v="2"/>
    <n v="3750.3"/>
    <x v="1"/>
    <n v="18"/>
  </r>
  <r>
    <x v="451"/>
    <x v="2"/>
    <m/>
    <s v="CO-50"/>
    <m/>
    <x v="0"/>
    <n v="531.65"/>
    <x v="2"/>
    <n v="40"/>
  </r>
  <r>
    <x v="452"/>
    <x v="9"/>
    <m/>
    <s v="CO-16"/>
    <m/>
    <x v="2"/>
    <n v="3130.92"/>
    <x v="0"/>
    <n v="1"/>
  </r>
  <r>
    <x v="453"/>
    <x v="7"/>
    <m/>
    <s v="CO-97"/>
    <m/>
    <x v="4"/>
    <n v="3708.78"/>
    <x v="0"/>
    <n v="0"/>
  </r>
  <r>
    <x v="454"/>
    <x v="7"/>
    <m/>
    <s v="CO-16"/>
    <m/>
    <x v="2"/>
    <n v="11328.07"/>
    <x v="3"/>
    <n v="9"/>
  </r>
  <r>
    <x v="455"/>
    <x v="3"/>
    <m/>
    <s v="CO-4"/>
    <m/>
    <x v="2"/>
    <n v="3550.71"/>
    <x v="4"/>
    <n v="37"/>
  </r>
  <r>
    <x v="456"/>
    <x v="1"/>
    <m/>
    <s v="CO-96"/>
    <m/>
    <x v="5"/>
    <n v="8988.8700000000008"/>
    <x v="2"/>
    <n v="21"/>
  </r>
  <r>
    <x v="457"/>
    <x v="1"/>
    <m/>
    <s v="CO-4"/>
    <m/>
    <x v="2"/>
    <n v="13150.06"/>
    <x v="4"/>
    <n v="34"/>
  </r>
  <r>
    <x v="458"/>
    <x v="4"/>
    <m/>
    <s v="CO-29"/>
    <m/>
    <x v="7"/>
    <n v="4542.49"/>
    <x v="0"/>
    <n v="0"/>
  </r>
  <r>
    <x v="459"/>
    <x v="4"/>
    <m/>
    <s v="CO-109"/>
    <m/>
    <x v="1"/>
    <n v="7459.53"/>
    <x v="4"/>
    <n v="42"/>
  </r>
  <r>
    <x v="460"/>
    <x v="5"/>
    <m/>
    <s v="CO-109"/>
    <m/>
    <x v="1"/>
    <n v="4815.08"/>
    <x v="1"/>
    <n v="10"/>
  </r>
  <r>
    <x v="461"/>
    <x v="1"/>
    <m/>
    <s v="CO-29"/>
    <m/>
    <x v="7"/>
    <n v="2798.99"/>
    <x v="1"/>
    <n v="16"/>
  </r>
  <r>
    <x v="462"/>
    <x v="7"/>
    <m/>
    <s v="CO-4"/>
    <m/>
    <x v="2"/>
    <n v="12870.24"/>
    <x v="0"/>
    <n v="0"/>
  </r>
  <r>
    <x v="463"/>
    <x v="4"/>
    <m/>
    <s v="CO-29"/>
    <m/>
    <x v="7"/>
    <n v="14518.4"/>
    <x v="2"/>
    <n v="9"/>
  </r>
  <r>
    <x v="464"/>
    <x v="8"/>
    <m/>
    <s v="CO-16"/>
    <m/>
    <x v="2"/>
    <n v="3862.18"/>
    <x v="1"/>
    <n v="6"/>
  </r>
  <r>
    <x v="465"/>
    <x v="2"/>
    <m/>
    <s v="CO-18"/>
    <m/>
    <x v="4"/>
    <n v="1432.34"/>
    <x v="3"/>
    <n v="13"/>
  </r>
  <r>
    <x v="466"/>
    <x v="0"/>
    <m/>
    <s v="CO-4"/>
    <m/>
    <x v="2"/>
    <n v="5688.66"/>
    <x v="2"/>
    <n v="3"/>
  </r>
  <r>
    <x v="467"/>
    <x v="7"/>
    <m/>
    <s v="CO-16"/>
    <m/>
    <x v="2"/>
    <n v="12079.53"/>
    <x v="2"/>
    <n v="43"/>
  </r>
  <r>
    <x v="468"/>
    <x v="5"/>
    <m/>
    <s v="CO-16"/>
    <m/>
    <x v="2"/>
    <n v="7216.94"/>
    <x v="3"/>
    <n v="22"/>
  </r>
  <r>
    <x v="469"/>
    <x v="8"/>
    <m/>
    <s v="CO-97"/>
    <m/>
    <x v="4"/>
    <n v="3216.53"/>
    <x v="0"/>
    <n v="0"/>
  </r>
  <r>
    <x v="470"/>
    <x v="1"/>
    <m/>
    <s v="CO-16"/>
    <m/>
    <x v="2"/>
    <n v="10449.61"/>
    <x v="2"/>
    <n v="26"/>
  </r>
  <r>
    <x v="471"/>
    <x v="7"/>
    <m/>
    <s v="CO-109"/>
    <m/>
    <x v="1"/>
    <n v="4858.1400000000003"/>
    <x v="1"/>
    <n v="30"/>
  </r>
  <r>
    <x v="472"/>
    <x v="8"/>
    <m/>
    <s v="CO-18"/>
    <m/>
    <x v="4"/>
    <n v="4660.91"/>
    <x v="1"/>
    <n v="57"/>
  </r>
  <r>
    <x v="473"/>
    <x v="3"/>
    <m/>
    <s v="CO-45"/>
    <m/>
    <x v="6"/>
    <n v="1524.19"/>
    <x v="4"/>
    <n v="31"/>
  </r>
  <r>
    <x v="474"/>
    <x v="1"/>
    <m/>
    <s v="CO-16"/>
    <m/>
    <x v="2"/>
    <n v="5592.04"/>
    <x v="1"/>
    <n v="37"/>
  </r>
  <r>
    <x v="475"/>
    <x v="9"/>
    <m/>
    <s v="CO-197"/>
    <m/>
    <x v="3"/>
    <n v="292.49"/>
    <x v="2"/>
    <n v="38"/>
  </r>
  <r>
    <x v="476"/>
    <x v="9"/>
    <m/>
    <s v="CO-29"/>
    <m/>
    <x v="7"/>
    <n v="4463.12"/>
    <x v="0"/>
    <n v="4"/>
  </r>
  <r>
    <x v="477"/>
    <x v="3"/>
    <m/>
    <s v="CO-16"/>
    <m/>
    <x v="2"/>
    <n v="7514.56"/>
    <x v="2"/>
    <n v="44"/>
  </r>
  <r>
    <x v="478"/>
    <x v="8"/>
    <m/>
    <s v="CO-4"/>
    <m/>
    <x v="2"/>
    <n v="11462.24"/>
    <x v="1"/>
    <n v="47"/>
  </r>
  <r>
    <x v="479"/>
    <x v="6"/>
    <m/>
    <s v="CO-45"/>
    <m/>
    <x v="6"/>
    <n v="2565.09"/>
    <x v="3"/>
    <n v="11"/>
  </r>
  <r>
    <x v="480"/>
    <x v="2"/>
    <m/>
    <s v="CO-109"/>
    <m/>
    <x v="1"/>
    <n v="7350.33"/>
    <x v="4"/>
    <n v="35"/>
  </r>
  <r>
    <x v="481"/>
    <x v="2"/>
    <m/>
    <s v="CO-109"/>
    <m/>
    <x v="1"/>
    <n v="555.66999999999996"/>
    <x v="3"/>
    <n v="53"/>
  </r>
  <r>
    <x v="482"/>
    <x v="0"/>
    <m/>
    <s v="CO-97"/>
    <m/>
    <x v="4"/>
    <n v="6215.26"/>
    <x v="3"/>
    <n v="15"/>
  </r>
  <r>
    <x v="483"/>
    <x v="2"/>
    <m/>
    <s v="CO-197"/>
    <m/>
    <x v="3"/>
    <n v="186.66"/>
    <x v="1"/>
    <n v="24"/>
  </r>
  <r>
    <x v="484"/>
    <x v="8"/>
    <m/>
    <s v="CO-96"/>
    <m/>
    <x v="5"/>
    <n v="9584.0400000000009"/>
    <x v="4"/>
    <n v="59"/>
  </r>
  <r>
    <x v="485"/>
    <x v="2"/>
    <m/>
    <s v="CO-45"/>
    <m/>
    <x v="6"/>
    <n v="285.19"/>
    <x v="1"/>
    <n v="27"/>
  </r>
  <r>
    <x v="486"/>
    <x v="7"/>
    <m/>
    <s v="CO-97"/>
    <m/>
    <x v="4"/>
    <n v="7964.79"/>
    <x v="0"/>
    <n v="0"/>
  </r>
  <r>
    <x v="487"/>
    <x v="0"/>
    <m/>
    <s v="CO-29"/>
    <m/>
    <x v="7"/>
    <n v="12102.21"/>
    <x v="4"/>
    <n v="7"/>
  </r>
  <r>
    <x v="488"/>
    <x v="3"/>
    <m/>
    <s v="CO-109"/>
    <m/>
    <x v="1"/>
    <n v="2276.02"/>
    <x v="0"/>
    <n v="0"/>
  </r>
  <r>
    <x v="489"/>
    <x v="9"/>
    <m/>
    <s v="CO-4"/>
    <m/>
    <x v="2"/>
    <n v="11934.3"/>
    <x v="0"/>
    <n v="7"/>
  </r>
  <r>
    <x v="490"/>
    <x v="2"/>
    <m/>
    <s v="CO-16"/>
    <m/>
    <x v="2"/>
    <n v="14853.98"/>
    <x v="0"/>
    <n v="0"/>
  </r>
  <r>
    <x v="491"/>
    <x v="2"/>
    <m/>
    <s v="CO-50"/>
    <m/>
    <x v="0"/>
    <n v="6108.91"/>
    <x v="1"/>
    <n v="31"/>
  </r>
  <r>
    <x v="492"/>
    <x v="3"/>
    <m/>
    <s v="CO-97"/>
    <m/>
    <x v="4"/>
    <n v="10557.53"/>
    <x v="0"/>
    <n v="14"/>
  </r>
  <r>
    <x v="493"/>
    <x v="7"/>
    <m/>
    <s v="CO-96"/>
    <m/>
    <x v="5"/>
    <n v="14661.07"/>
    <x v="4"/>
    <n v="58"/>
  </r>
  <r>
    <x v="494"/>
    <x v="9"/>
    <m/>
    <s v="CO-97"/>
    <m/>
    <x v="4"/>
    <n v="3485.01"/>
    <x v="4"/>
    <n v="45"/>
  </r>
  <r>
    <x v="495"/>
    <x v="5"/>
    <m/>
    <s v="CO-45"/>
    <m/>
    <x v="6"/>
    <n v="4102.87"/>
    <x v="4"/>
    <n v="44"/>
  </r>
  <r>
    <x v="496"/>
    <x v="2"/>
    <m/>
    <s v="CO-109"/>
    <m/>
    <x v="1"/>
    <n v="8474.4699999999993"/>
    <x v="0"/>
    <n v="0"/>
  </r>
  <r>
    <x v="497"/>
    <x v="4"/>
    <m/>
    <s v="CO-16"/>
    <m/>
    <x v="2"/>
    <n v="8826.19"/>
    <x v="3"/>
    <n v="46"/>
  </r>
  <r>
    <x v="498"/>
    <x v="4"/>
    <m/>
    <s v="CO-50"/>
    <m/>
    <x v="0"/>
    <n v="4524.1899999999996"/>
    <x v="2"/>
    <n v="37"/>
  </r>
  <r>
    <x v="499"/>
    <x v="0"/>
    <m/>
    <s v="CO-109"/>
    <m/>
    <x v="1"/>
    <n v="5009.3599999999997"/>
    <x v="3"/>
    <n v="9"/>
  </r>
  <r>
    <x v="500"/>
    <x v="4"/>
    <m/>
    <s v="CO-109"/>
    <m/>
    <x v="1"/>
    <n v="11194.58"/>
    <x v="1"/>
    <n v="7"/>
  </r>
  <r>
    <x v="501"/>
    <x v="9"/>
    <m/>
    <s v="CO-16"/>
    <m/>
    <x v="2"/>
    <n v="12588.19"/>
    <x v="1"/>
    <n v="50"/>
  </r>
  <r>
    <x v="502"/>
    <x v="5"/>
    <m/>
    <s v="CO-96"/>
    <m/>
    <x v="5"/>
    <n v="5980.71"/>
    <x v="3"/>
    <n v="2"/>
  </r>
  <r>
    <x v="503"/>
    <x v="4"/>
    <m/>
    <s v="CO-45"/>
    <m/>
    <x v="6"/>
    <n v="7384.52"/>
    <x v="1"/>
    <n v="25"/>
  </r>
  <r>
    <x v="504"/>
    <x v="9"/>
    <m/>
    <s v="CO-197"/>
    <m/>
    <x v="3"/>
    <n v="10211.44"/>
    <x v="2"/>
    <n v="6"/>
  </r>
  <r>
    <x v="505"/>
    <x v="5"/>
    <m/>
    <s v="CO-4"/>
    <m/>
    <x v="2"/>
    <n v="11980.92"/>
    <x v="2"/>
    <n v="6"/>
  </r>
  <r>
    <x v="506"/>
    <x v="4"/>
    <m/>
    <s v="CO-197"/>
    <m/>
    <x v="3"/>
    <n v="5731"/>
    <x v="3"/>
    <n v="10"/>
  </r>
  <r>
    <x v="507"/>
    <x v="3"/>
    <m/>
    <s v="CO-18"/>
    <m/>
    <x v="4"/>
    <n v="5442.47"/>
    <x v="0"/>
    <n v="5"/>
  </r>
  <r>
    <x v="508"/>
    <x v="7"/>
    <m/>
    <s v="CO-4"/>
    <m/>
    <x v="2"/>
    <n v="1578.36"/>
    <x v="0"/>
    <n v="7"/>
  </r>
  <r>
    <x v="509"/>
    <x v="7"/>
    <m/>
    <s v="CO-109"/>
    <m/>
    <x v="1"/>
    <n v="7710.99"/>
    <x v="0"/>
    <n v="0"/>
  </r>
  <r>
    <x v="510"/>
    <x v="4"/>
    <m/>
    <s v="CO-50"/>
    <m/>
    <x v="0"/>
    <n v="8974.02"/>
    <x v="3"/>
    <n v="56"/>
  </r>
  <r>
    <x v="511"/>
    <x v="7"/>
    <m/>
    <s v="CO-97"/>
    <m/>
    <x v="4"/>
    <n v="4413.12"/>
    <x v="1"/>
    <n v="6"/>
  </r>
  <r>
    <x v="512"/>
    <x v="6"/>
    <m/>
    <s v="CO-16"/>
    <m/>
    <x v="2"/>
    <n v="8600.81"/>
    <x v="0"/>
    <n v="0"/>
  </r>
  <r>
    <x v="513"/>
    <x v="6"/>
    <m/>
    <s v="CO-4"/>
    <m/>
    <x v="2"/>
    <n v="4551.91"/>
    <x v="1"/>
    <n v="5"/>
  </r>
  <r>
    <x v="514"/>
    <x v="0"/>
    <m/>
    <s v="CO-29"/>
    <m/>
    <x v="7"/>
    <n v="4175.63"/>
    <x v="1"/>
    <n v="51"/>
  </r>
  <r>
    <x v="515"/>
    <x v="9"/>
    <m/>
    <s v="CO-18"/>
    <m/>
    <x v="4"/>
    <n v="3812.91"/>
    <x v="0"/>
    <n v="11"/>
  </r>
  <r>
    <x v="516"/>
    <x v="4"/>
    <m/>
    <s v="CO-96"/>
    <m/>
    <x v="5"/>
    <n v="2973.45"/>
    <x v="0"/>
    <n v="0"/>
  </r>
  <r>
    <x v="517"/>
    <x v="3"/>
    <m/>
    <s v="CO-18"/>
    <m/>
    <x v="4"/>
    <n v="12632.12"/>
    <x v="1"/>
    <n v="56"/>
  </r>
  <r>
    <x v="518"/>
    <x v="9"/>
    <m/>
    <s v="CO-45"/>
    <m/>
    <x v="6"/>
    <n v="5054.3100000000004"/>
    <x v="3"/>
    <n v="56"/>
  </r>
  <r>
    <x v="519"/>
    <x v="1"/>
    <m/>
    <s v="CO-197"/>
    <m/>
    <x v="3"/>
    <n v="4541.51"/>
    <x v="2"/>
    <n v="45"/>
  </r>
  <r>
    <x v="520"/>
    <x v="5"/>
    <m/>
    <s v="CO-45"/>
    <m/>
    <x v="6"/>
    <n v="4747.04"/>
    <x v="4"/>
    <n v="21"/>
  </r>
  <r>
    <x v="521"/>
    <x v="4"/>
    <m/>
    <s v="CO-45"/>
    <m/>
    <x v="6"/>
    <n v="14518.06"/>
    <x v="3"/>
    <n v="21"/>
  </r>
  <r>
    <x v="522"/>
    <x v="9"/>
    <m/>
    <s v="CO-4"/>
    <m/>
    <x v="2"/>
    <n v="12256.59"/>
    <x v="1"/>
    <n v="8"/>
  </r>
  <r>
    <x v="523"/>
    <x v="7"/>
    <m/>
    <s v="CO-16"/>
    <m/>
    <x v="2"/>
    <n v="8903.7900000000009"/>
    <x v="1"/>
    <n v="44"/>
  </r>
  <r>
    <x v="524"/>
    <x v="1"/>
    <m/>
    <s v="CO-97"/>
    <m/>
    <x v="4"/>
    <n v="14297.42"/>
    <x v="1"/>
    <n v="46"/>
  </r>
  <r>
    <x v="525"/>
    <x v="4"/>
    <m/>
    <s v="CO-45"/>
    <m/>
    <x v="6"/>
    <n v="11975.4"/>
    <x v="3"/>
    <n v="5"/>
  </r>
  <r>
    <x v="526"/>
    <x v="6"/>
    <m/>
    <s v="CO-45"/>
    <m/>
    <x v="6"/>
    <n v="2130.73"/>
    <x v="1"/>
    <n v="17"/>
  </r>
  <r>
    <x v="527"/>
    <x v="9"/>
    <m/>
    <s v="CO-29"/>
    <m/>
    <x v="7"/>
    <n v="11846.7"/>
    <x v="0"/>
    <n v="10"/>
  </r>
  <r>
    <x v="528"/>
    <x v="4"/>
    <m/>
    <s v="CO-29"/>
    <m/>
    <x v="7"/>
    <n v="8038.79"/>
    <x v="4"/>
    <n v="56"/>
  </r>
  <r>
    <x v="529"/>
    <x v="7"/>
    <m/>
    <s v="CO-109"/>
    <m/>
    <x v="1"/>
    <n v="599.64"/>
    <x v="4"/>
    <n v="45"/>
  </r>
  <r>
    <x v="530"/>
    <x v="3"/>
    <m/>
    <s v="CO-96"/>
    <m/>
    <x v="5"/>
    <n v="9590.7999999999993"/>
    <x v="0"/>
    <n v="0"/>
  </r>
  <r>
    <x v="531"/>
    <x v="3"/>
    <m/>
    <s v="CO-197"/>
    <m/>
    <x v="3"/>
    <n v="9722.65"/>
    <x v="0"/>
    <n v="11"/>
  </r>
  <r>
    <x v="532"/>
    <x v="8"/>
    <m/>
    <s v="CO-29"/>
    <m/>
    <x v="7"/>
    <n v="1633.87"/>
    <x v="0"/>
    <n v="0"/>
  </r>
  <r>
    <x v="533"/>
    <x v="7"/>
    <m/>
    <s v="CO-18"/>
    <m/>
    <x v="4"/>
    <n v="5897.46"/>
    <x v="3"/>
    <n v="38"/>
  </r>
  <r>
    <x v="534"/>
    <x v="4"/>
    <m/>
    <s v="CO-197"/>
    <m/>
    <x v="3"/>
    <n v="5207.26"/>
    <x v="0"/>
    <n v="0"/>
  </r>
  <r>
    <x v="535"/>
    <x v="3"/>
    <m/>
    <s v="CO-50"/>
    <m/>
    <x v="0"/>
    <n v="1785.24"/>
    <x v="4"/>
    <n v="10"/>
  </r>
  <r>
    <x v="536"/>
    <x v="8"/>
    <m/>
    <s v="CO-4"/>
    <m/>
    <x v="2"/>
    <n v="5178.8500000000004"/>
    <x v="3"/>
    <n v="34"/>
  </r>
  <r>
    <x v="537"/>
    <x v="8"/>
    <m/>
    <s v="CO-18"/>
    <m/>
    <x v="4"/>
    <n v="7168.63"/>
    <x v="1"/>
    <n v="45"/>
  </r>
  <r>
    <x v="538"/>
    <x v="2"/>
    <m/>
    <s v="CO-18"/>
    <m/>
    <x v="4"/>
    <n v="1054.26"/>
    <x v="0"/>
    <n v="0"/>
  </r>
  <r>
    <x v="539"/>
    <x v="1"/>
    <m/>
    <s v="CO-18"/>
    <m/>
    <x v="4"/>
    <n v="9737.15"/>
    <x v="2"/>
    <n v="11"/>
  </r>
  <r>
    <x v="540"/>
    <x v="8"/>
    <m/>
    <s v="CO-109"/>
    <m/>
    <x v="1"/>
    <n v="2658.08"/>
    <x v="0"/>
    <n v="9"/>
  </r>
  <r>
    <x v="541"/>
    <x v="4"/>
    <m/>
    <s v="CO-16"/>
    <m/>
    <x v="2"/>
    <n v="11976.45"/>
    <x v="2"/>
    <n v="12"/>
  </r>
  <r>
    <x v="542"/>
    <x v="8"/>
    <m/>
    <s v="CO-29"/>
    <m/>
    <x v="7"/>
    <n v="486.42"/>
    <x v="2"/>
    <n v="13"/>
  </r>
  <r>
    <x v="543"/>
    <x v="5"/>
    <m/>
    <s v="CO-96"/>
    <m/>
    <x v="5"/>
    <n v="6471.81"/>
    <x v="0"/>
    <n v="0"/>
  </r>
  <r>
    <x v="544"/>
    <x v="6"/>
    <m/>
    <s v="CO-50"/>
    <m/>
    <x v="0"/>
    <n v="8681.35"/>
    <x v="3"/>
    <n v="35"/>
  </r>
  <r>
    <x v="545"/>
    <x v="8"/>
    <m/>
    <s v="CO-18"/>
    <m/>
    <x v="4"/>
    <n v="4923.47"/>
    <x v="1"/>
    <n v="17"/>
  </r>
  <r>
    <x v="546"/>
    <x v="9"/>
    <m/>
    <s v="CO-109"/>
    <m/>
    <x v="1"/>
    <n v="14490.45"/>
    <x v="1"/>
    <n v="25"/>
  </r>
  <r>
    <x v="547"/>
    <x v="8"/>
    <m/>
    <s v="CO-29"/>
    <m/>
    <x v="7"/>
    <n v="8825.7199999999993"/>
    <x v="1"/>
    <n v="55"/>
  </r>
  <r>
    <x v="548"/>
    <x v="5"/>
    <m/>
    <s v="CO-96"/>
    <m/>
    <x v="5"/>
    <n v="2629.29"/>
    <x v="2"/>
    <n v="52"/>
  </r>
  <r>
    <x v="549"/>
    <x v="0"/>
    <m/>
    <s v="CO-96"/>
    <m/>
    <x v="5"/>
    <n v="8873.02"/>
    <x v="2"/>
    <n v="21"/>
  </r>
  <r>
    <x v="550"/>
    <x v="7"/>
    <m/>
    <s v="CO-16"/>
    <m/>
    <x v="2"/>
    <n v="4615.43"/>
    <x v="0"/>
    <n v="0"/>
  </r>
  <r>
    <x v="551"/>
    <x v="6"/>
    <m/>
    <s v="CO-29"/>
    <m/>
    <x v="7"/>
    <n v="6302.67"/>
    <x v="0"/>
    <n v="7"/>
  </r>
  <r>
    <x v="552"/>
    <x v="6"/>
    <m/>
    <s v="CO-45"/>
    <m/>
    <x v="6"/>
    <n v="9550.75"/>
    <x v="2"/>
    <n v="42"/>
  </r>
  <r>
    <x v="553"/>
    <x v="3"/>
    <m/>
    <s v="CO-109"/>
    <m/>
    <x v="1"/>
    <n v="2544.64"/>
    <x v="1"/>
    <n v="12"/>
  </r>
  <r>
    <x v="554"/>
    <x v="8"/>
    <m/>
    <s v="CO-45"/>
    <m/>
    <x v="6"/>
    <n v="9310.18"/>
    <x v="3"/>
    <n v="1"/>
  </r>
  <r>
    <x v="555"/>
    <x v="7"/>
    <m/>
    <s v="CO-197"/>
    <m/>
    <x v="3"/>
    <n v="2967.17"/>
    <x v="1"/>
    <n v="36"/>
  </r>
  <r>
    <x v="556"/>
    <x v="8"/>
    <m/>
    <s v="CO-45"/>
    <m/>
    <x v="6"/>
    <n v="6166.56"/>
    <x v="1"/>
    <n v="46"/>
  </r>
  <r>
    <x v="557"/>
    <x v="1"/>
    <m/>
    <s v="CO-45"/>
    <m/>
    <x v="6"/>
    <n v="2550.44"/>
    <x v="2"/>
    <n v="51"/>
  </r>
  <r>
    <x v="558"/>
    <x v="8"/>
    <m/>
    <s v="CO-4"/>
    <m/>
    <x v="2"/>
    <n v="538.79"/>
    <x v="0"/>
    <n v="0"/>
  </r>
  <r>
    <x v="559"/>
    <x v="7"/>
    <m/>
    <s v="CO-96"/>
    <m/>
    <x v="5"/>
    <n v="11150.65"/>
    <x v="3"/>
    <n v="36"/>
  </r>
  <r>
    <x v="560"/>
    <x v="7"/>
    <m/>
    <s v="CO-50"/>
    <m/>
    <x v="0"/>
    <n v="8612.08"/>
    <x v="0"/>
    <n v="0"/>
  </r>
  <r>
    <x v="561"/>
    <x v="4"/>
    <m/>
    <s v="CO-97"/>
    <m/>
    <x v="4"/>
    <n v="11412.06"/>
    <x v="1"/>
    <n v="14"/>
  </r>
  <r>
    <x v="562"/>
    <x v="5"/>
    <m/>
    <s v="CO-50"/>
    <m/>
    <x v="0"/>
    <n v="11053.03"/>
    <x v="2"/>
    <n v="16"/>
  </r>
  <r>
    <x v="563"/>
    <x v="0"/>
    <m/>
    <s v="CO-97"/>
    <m/>
    <x v="4"/>
    <n v="6773.5"/>
    <x v="1"/>
    <n v="53"/>
  </r>
  <r>
    <x v="564"/>
    <x v="1"/>
    <m/>
    <s v="CO-45"/>
    <m/>
    <x v="6"/>
    <n v="12986.09"/>
    <x v="0"/>
    <n v="0"/>
  </r>
  <r>
    <x v="565"/>
    <x v="4"/>
    <m/>
    <s v="CO-96"/>
    <m/>
    <x v="5"/>
    <n v="10352.549999999999"/>
    <x v="3"/>
    <n v="40"/>
  </r>
  <r>
    <x v="566"/>
    <x v="1"/>
    <m/>
    <s v="CO-197"/>
    <m/>
    <x v="3"/>
    <n v="9261.4599999999991"/>
    <x v="3"/>
    <n v="53"/>
  </r>
  <r>
    <x v="567"/>
    <x v="7"/>
    <m/>
    <s v="CO-97"/>
    <m/>
    <x v="4"/>
    <n v="8572.61"/>
    <x v="1"/>
    <n v="39"/>
  </r>
  <r>
    <x v="568"/>
    <x v="9"/>
    <m/>
    <s v="CO-197"/>
    <m/>
    <x v="3"/>
    <n v="4888.62"/>
    <x v="2"/>
    <n v="19"/>
  </r>
  <r>
    <x v="569"/>
    <x v="0"/>
    <m/>
    <s v="CO-4"/>
    <m/>
    <x v="2"/>
    <n v="14288.34"/>
    <x v="1"/>
    <n v="58"/>
  </r>
  <r>
    <x v="570"/>
    <x v="2"/>
    <m/>
    <s v="CO-197"/>
    <m/>
    <x v="3"/>
    <n v="14443.44"/>
    <x v="3"/>
    <n v="59"/>
  </r>
  <r>
    <x v="571"/>
    <x v="1"/>
    <m/>
    <s v="CO-4"/>
    <m/>
    <x v="2"/>
    <n v="13012.36"/>
    <x v="0"/>
    <n v="0"/>
  </r>
  <r>
    <x v="572"/>
    <x v="4"/>
    <m/>
    <s v="CO-197"/>
    <m/>
    <x v="3"/>
    <n v="10685.35"/>
    <x v="3"/>
    <n v="49"/>
  </r>
  <r>
    <x v="573"/>
    <x v="4"/>
    <m/>
    <s v="CO-45"/>
    <m/>
    <x v="6"/>
    <n v="2175.4699999999998"/>
    <x v="2"/>
    <n v="41"/>
  </r>
  <r>
    <x v="574"/>
    <x v="0"/>
    <m/>
    <s v="CO-29"/>
    <m/>
    <x v="7"/>
    <n v="6807.28"/>
    <x v="2"/>
    <n v="57"/>
  </r>
  <r>
    <x v="575"/>
    <x v="8"/>
    <m/>
    <s v="CO-29"/>
    <m/>
    <x v="7"/>
    <n v="7758.42"/>
    <x v="0"/>
    <n v="0"/>
  </r>
  <r>
    <x v="576"/>
    <x v="8"/>
    <m/>
    <s v="CO-45"/>
    <m/>
    <x v="6"/>
    <n v="4942.97"/>
    <x v="0"/>
    <n v="0"/>
  </r>
  <r>
    <x v="577"/>
    <x v="1"/>
    <m/>
    <s v="CO-18"/>
    <m/>
    <x v="4"/>
    <n v="12759.09"/>
    <x v="3"/>
    <n v="26"/>
  </r>
  <r>
    <x v="578"/>
    <x v="5"/>
    <m/>
    <s v="CO-29"/>
    <m/>
    <x v="7"/>
    <n v="12381.47"/>
    <x v="1"/>
    <n v="21"/>
  </r>
  <r>
    <x v="579"/>
    <x v="3"/>
    <m/>
    <s v="CO-18"/>
    <m/>
    <x v="4"/>
    <n v="8232.2900000000009"/>
    <x v="0"/>
    <n v="14"/>
  </r>
  <r>
    <x v="580"/>
    <x v="8"/>
    <m/>
    <s v="CO-97"/>
    <m/>
    <x v="4"/>
    <n v="736.85"/>
    <x v="2"/>
    <n v="54"/>
  </r>
  <r>
    <x v="581"/>
    <x v="8"/>
    <m/>
    <s v="CO-97"/>
    <m/>
    <x v="4"/>
    <n v="1907.35"/>
    <x v="3"/>
    <n v="29"/>
  </r>
  <r>
    <x v="582"/>
    <x v="6"/>
    <m/>
    <s v="CO-97"/>
    <m/>
    <x v="4"/>
    <n v="14877.98"/>
    <x v="1"/>
    <n v="45"/>
  </r>
  <r>
    <x v="583"/>
    <x v="0"/>
    <m/>
    <s v="CO-4"/>
    <m/>
    <x v="2"/>
    <n v="2426.71"/>
    <x v="4"/>
    <n v="18"/>
  </r>
  <r>
    <x v="584"/>
    <x v="6"/>
    <m/>
    <s v="CO-18"/>
    <m/>
    <x v="4"/>
    <n v="3793.32"/>
    <x v="1"/>
    <n v="58"/>
  </r>
  <r>
    <x v="585"/>
    <x v="1"/>
    <m/>
    <s v="CO-97"/>
    <m/>
    <x v="4"/>
    <n v="5975.31"/>
    <x v="1"/>
    <n v="45"/>
  </r>
  <r>
    <x v="586"/>
    <x v="1"/>
    <m/>
    <s v="CO-29"/>
    <m/>
    <x v="7"/>
    <n v="9849.5"/>
    <x v="2"/>
    <n v="1"/>
  </r>
  <r>
    <x v="587"/>
    <x v="8"/>
    <m/>
    <s v="CO-45"/>
    <m/>
    <x v="6"/>
    <n v="1215.18"/>
    <x v="2"/>
    <n v="34"/>
  </r>
  <r>
    <x v="588"/>
    <x v="4"/>
    <m/>
    <s v="CO-97"/>
    <m/>
    <x v="4"/>
    <n v="170.54"/>
    <x v="1"/>
    <n v="8"/>
  </r>
  <r>
    <x v="589"/>
    <x v="0"/>
    <m/>
    <s v="CO-197"/>
    <m/>
    <x v="3"/>
    <n v="7191.62"/>
    <x v="0"/>
    <n v="0"/>
  </r>
  <r>
    <x v="590"/>
    <x v="6"/>
    <m/>
    <s v="CO-18"/>
    <m/>
    <x v="4"/>
    <n v="5545.05"/>
    <x v="1"/>
    <n v="25"/>
  </r>
  <r>
    <x v="591"/>
    <x v="6"/>
    <m/>
    <s v="CO-197"/>
    <m/>
    <x v="3"/>
    <n v="1072.75"/>
    <x v="2"/>
    <n v="40"/>
  </r>
  <r>
    <x v="592"/>
    <x v="4"/>
    <m/>
    <s v="CO-45"/>
    <m/>
    <x v="6"/>
    <n v="5300.26"/>
    <x v="0"/>
    <n v="0"/>
  </r>
  <r>
    <x v="593"/>
    <x v="0"/>
    <m/>
    <s v="CO-96"/>
    <m/>
    <x v="5"/>
    <n v="10314.16"/>
    <x v="3"/>
    <n v="6"/>
  </r>
  <r>
    <x v="594"/>
    <x v="3"/>
    <m/>
    <s v="CO-197"/>
    <m/>
    <x v="3"/>
    <n v="11299.06"/>
    <x v="2"/>
    <n v="25"/>
  </r>
  <r>
    <x v="595"/>
    <x v="1"/>
    <m/>
    <s v="CO-29"/>
    <m/>
    <x v="7"/>
    <n v="4751.83"/>
    <x v="0"/>
    <n v="0"/>
  </r>
  <r>
    <x v="596"/>
    <x v="2"/>
    <m/>
    <s v="CO-109"/>
    <m/>
    <x v="1"/>
    <n v="9034.94"/>
    <x v="3"/>
    <n v="19"/>
  </r>
  <r>
    <x v="597"/>
    <x v="4"/>
    <m/>
    <s v="CO-4"/>
    <m/>
    <x v="2"/>
    <n v="3121.41"/>
    <x v="2"/>
    <n v="13"/>
  </r>
  <r>
    <x v="598"/>
    <x v="1"/>
    <m/>
    <s v="CO-4"/>
    <m/>
    <x v="2"/>
    <n v="9710.24"/>
    <x v="3"/>
    <n v="51"/>
  </r>
  <r>
    <x v="599"/>
    <x v="7"/>
    <m/>
    <s v="CO-45"/>
    <m/>
    <x v="6"/>
    <n v="5818.99"/>
    <x v="0"/>
    <n v="0"/>
  </r>
  <r>
    <x v="600"/>
    <x v="4"/>
    <m/>
    <s v="CO-97"/>
    <m/>
    <x v="4"/>
    <n v="14803.89"/>
    <x v="4"/>
    <n v="9"/>
  </r>
  <r>
    <x v="601"/>
    <x v="8"/>
    <m/>
    <s v="CO-96"/>
    <m/>
    <x v="5"/>
    <n v="6341.91"/>
    <x v="1"/>
    <n v="12"/>
  </r>
  <r>
    <x v="602"/>
    <x v="2"/>
    <m/>
    <s v="CO-50"/>
    <m/>
    <x v="0"/>
    <n v="299.51"/>
    <x v="0"/>
    <n v="0"/>
  </r>
  <r>
    <x v="603"/>
    <x v="7"/>
    <m/>
    <s v="CO-97"/>
    <m/>
    <x v="4"/>
    <n v="14232.77"/>
    <x v="1"/>
    <n v="19"/>
  </r>
  <r>
    <x v="604"/>
    <x v="7"/>
    <m/>
    <s v="CO-29"/>
    <m/>
    <x v="7"/>
    <n v="6382.45"/>
    <x v="1"/>
    <n v="41"/>
  </r>
  <r>
    <x v="605"/>
    <x v="7"/>
    <m/>
    <s v="CO-109"/>
    <m/>
    <x v="1"/>
    <n v="9259.9"/>
    <x v="0"/>
    <n v="0"/>
  </r>
  <r>
    <x v="606"/>
    <x v="9"/>
    <m/>
    <s v="CO-16"/>
    <m/>
    <x v="2"/>
    <n v="14615.99"/>
    <x v="0"/>
    <n v="6"/>
  </r>
  <r>
    <x v="607"/>
    <x v="1"/>
    <m/>
    <s v="CO-50"/>
    <m/>
    <x v="0"/>
    <n v="4687.03"/>
    <x v="1"/>
    <n v="55"/>
  </r>
  <r>
    <x v="608"/>
    <x v="8"/>
    <m/>
    <s v="CO-97"/>
    <m/>
    <x v="4"/>
    <n v="3704.97"/>
    <x v="4"/>
    <n v="8"/>
  </r>
  <r>
    <x v="609"/>
    <x v="6"/>
    <m/>
    <s v="CO-96"/>
    <m/>
    <x v="5"/>
    <n v="9152.0400000000009"/>
    <x v="1"/>
    <n v="48"/>
  </r>
  <r>
    <x v="610"/>
    <x v="8"/>
    <m/>
    <s v="CO-50"/>
    <m/>
    <x v="0"/>
    <n v="239.34"/>
    <x v="0"/>
    <n v="0"/>
  </r>
  <r>
    <x v="611"/>
    <x v="5"/>
    <m/>
    <s v="CO-18"/>
    <m/>
    <x v="4"/>
    <n v="7868.93"/>
    <x v="3"/>
    <n v="47"/>
  </r>
  <r>
    <x v="612"/>
    <x v="5"/>
    <m/>
    <s v="CO-197"/>
    <m/>
    <x v="3"/>
    <n v="5609.45"/>
    <x v="3"/>
    <n v="56"/>
  </r>
  <r>
    <x v="613"/>
    <x v="5"/>
    <m/>
    <s v="CO-50"/>
    <m/>
    <x v="0"/>
    <n v="11582.88"/>
    <x v="0"/>
    <n v="13"/>
  </r>
  <r>
    <x v="614"/>
    <x v="0"/>
    <m/>
    <s v="CO-109"/>
    <m/>
    <x v="1"/>
    <n v="1004.89"/>
    <x v="2"/>
    <n v="37"/>
  </r>
  <r>
    <x v="615"/>
    <x v="9"/>
    <m/>
    <s v="CO-45"/>
    <m/>
    <x v="6"/>
    <n v="6855.21"/>
    <x v="1"/>
    <n v="32"/>
  </r>
  <r>
    <x v="616"/>
    <x v="1"/>
    <m/>
    <s v="CO-197"/>
    <m/>
    <x v="3"/>
    <n v="5546.93"/>
    <x v="0"/>
    <n v="0"/>
  </r>
  <r>
    <x v="617"/>
    <x v="1"/>
    <m/>
    <s v="CO-109"/>
    <m/>
    <x v="1"/>
    <n v="88.4"/>
    <x v="3"/>
    <n v="1"/>
  </r>
  <r>
    <x v="618"/>
    <x v="6"/>
    <m/>
    <s v="CO-97"/>
    <m/>
    <x v="4"/>
    <n v="7102.88"/>
    <x v="1"/>
    <n v="10"/>
  </r>
  <r>
    <x v="619"/>
    <x v="4"/>
    <m/>
    <s v="CO-97"/>
    <m/>
    <x v="4"/>
    <n v="8315.33"/>
    <x v="4"/>
    <n v="48"/>
  </r>
  <r>
    <x v="620"/>
    <x v="3"/>
    <m/>
    <s v="CO-16"/>
    <m/>
    <x v="2"/>
    <n v="4860.9399999999996"/>
    <x v="1"/>
    <n v="47"/>
  </r>
  <r>
    <x v="621"/>
    <x v="7"/>
    <m/>
    <s v="CO-4"/>
    <m/>
    <x v="2"/>
    <n v="12398.66"/>
    <x v="2"/>
    <n v="8"/>
  </r>
  <r>
    <x v="622"/>
    <x v="4"/>
    <m/>
    <s v="CO-97"/>
    <m/>
    <x v="4"/>
    <n v="2731.2"/>
    <x v="3"/>
    <n v="3"/>
  </r>
  <r>
    <x v="623"/>
    <x v="5"/>
    <m/>
    <s v="CO-50"/>
    <m/>
    <x v="0"/>
    <n v="13161.02"/>
    <x v="3"/>
    <n v="50"/>
  </r>
  <r>
    <x v="624"/>
    <x v="1"/>
    <m/>
    <s v="CO-18"/>
    <m/>
    <x v="4"/>
    <n v="1341.46"/>
    <x v="1"/>
    <n v="24"/>
  </r>
  <r>
    <x v="625"/>
    <x v="1"/>
    <m/>
    <s v="CO-4"/>
    <m/>
    <x v="2"/>
    <n v="8478.91"/>
    <x v="1"/>
    <n v="40"/>
  </r>
  <r>
    <x v="626"/>
    <x v="1"/>
    <m/>
    <s v="CO-45"/>
    <m/>
    <x v="6"/>
    <n v="5555.69"/>
    <x v="4"/>
    <n v="50"/>
  </r>
  <r>
    <x v="627"/>
    <x v="2"/>
    <m/>
    <s v="CO-109"/>
    <m/>
    <x v="1"/>
    <n v="11419.21"/>
    <x v="0"/>
    <n v="1"/>
  </r>
  <r>
    <x v="628"/>
    <x v="2"/>
    <m/>
    <s v="CO-16"/>
    <m/>
    <x v="2"/>
    <n v="8146.1"/>
    <x v="2"/>
    <n v="45"/>
  </r>
  <r>
    <x v="629"/>
    <x v="5"/>
    <m/>
    <s v="CO-18"/>
    <m/>
    <x v="4"/>
    <n v="71.86"/>
    <x v="2"/>
    <n v="55"/>
  </r>
  <r>
    <x v="630"/>
    <x v="8"/>
    <m/>
    <s v="CO-50"/>
    <m/>
    <x v="0"/>
    <n v="3117.66"/>
    <x v="4"/>
    <n v="27"/>
  </r>
  <r>
    <x v="631"/>
    <x v="2"/>
    <m/>
    <s v="CO-97"/>
    <m/>
    <x v="4"/>
    <n v="14589.76"/>
    <x v="0"/>
    <n v="0"/>
  </r>
  <r>
    <x v="632"/>
    <x v="3"/>
    <m/>
    <s v="CO-16"/>
    <m/>
    <x v="2"/>
    <n v="13464.45"/>
    <x v="1"/>
    <n v="45"/>
  </r>
  <r>
    <x v="633"/>
    <x v="4"/>
    <m/>
    <s v="CO-45"/>
    <m/>
    <x v="6"/>
    <n v="14619.59"/>
    <x v="0"/>
    <n v="0"/>
  </r>
  <r>
    <x v="634"/>
    <x v="1"/>
    <m/>
    <s v="CO-50"/>
    <m/>
    <x v="0"/>
    <n v="8898.84"/>
    <x v="0"/>
    <n v="0"/>
  </r>
  <r>
    <x v="635"/>
    <x v="4"/>
    <m/>
    <s v="CO-4"/>
    <m/>
    <x v="2"/>
    <n v="3951.81"/>
    <x v="1"/>
    <n v="52"/>
  </r>
  <r>
    <x v="636"/>
    <x v="6"/>
    <m/>
    <s v="CO-18"/>
    <m/>
    <x v="4"/>
    <n v="4804.96"/>
    <x v="0"/>
    <n v="0"/>
  </r>
  <r>
    <x v="637"/>
    <x v="3"/>
    <m/>
    <s v="CO-96"/>
    <m/>
    <x v="5"/>
    <n v="1679.14"/>
    <x v="0"/>
    <n v="8"/>
  </r>
  <r>
    <x v="638"/>
    <x v="1"/>
    <m/>
    <s v="CO-29"/>
    <m/>
    <x v="7"/>
    <n v="1855.01"/>
    <x v="1"/>
    <n v="50"/>
  </r>
  <r>
    <x v="639"/>
    <x v="6"/>
    <m/>
    <s v="CO-45"/>
    <m/>
    <x v="6"/>
    <n v="4659.2"/>
    <x v="0"/>
    <n v="0"/>
  </r>
  <r>
    <x v="640"/>
    <x v="1"/>
    <m/>
    <s v="CO-4"/>
    <m/>
    <x v="2"/>
    <n v="12404.48"/>
    <x v="2"/>
    <n v="3"/>
  </r>
  <r>
    <x v="641"/>
    <x v="4"/>
    <m/>
    <s v="CO-18"/>
    <m/>
    <x v="4"/>
    <n v="2267.44"/>
    <x v="2"/>
    <n v="23"/>
  </r>
  <r>
    <x v="642"/>
    <x v="6"/>
    <m/>
    <s v="CO-109"/>
    <m/>
    <x v="1"/>
    <n v="781.81"/>
    <x v="1"/>
    <n v="53"/>
  </r>
  <r>
    <x v="643"/>
    <x v="7"/>
    <m/>
    <s v="CO-97"/>
    <m/>
    <x v="4"/>
    <n v="14283.84"/>
    <x v="3"/>
    <n v="36"/>
  </r>
  <r>
    <x v="644"/>
    <x v="0"/>
    <m/>
    <s v="CO-16"/>
    <m/>
    <x v="2"/>
    <n v="1466.14"/>
    <x v="0"/>
    <n v="0"/>
  </r>
  <r>
    <x v="645"/>
    <x v="6"/>
    <m/>
    <s v="CO-97"/>
    <m/>
    <x v="4"/>
    <n v="971.95"/>
    <x v="3"/>
    <n v="15"/>
  </r>
  <r>
    <x v="646"/>
    <x v="0"/>
    <m/>
    <s v="CO-16"/>
    <m/>
    <x v="2"/>
    <n v="12363.92"/>
    <x v="1"/>
    <n v="41"/>
  </r>
  <r>
    <x v="647"/>
    <x v="2"/>
    <m/>
    <s v="CO-96"/>
    <m/>
    <x v="5"/>
    <n v="8812.48"/>
    <x v="4"/>
    <n v="5"/>
  </r>
  <r>
    <x v="648"/>
    <x v="6"/>
    <m/>
    <s v="CO-50"/>
    <m/>
    <x v="0"/>
    <n v="3006.37"/>
    <x v="2"/>
    <n v="52"/>
  </r>
  <r>
    <x v="649"/>
    <x v="0"/>
    <m/>
    <s v="CO-50"/>
    <m/>
    <x v="0"/>
    <n v="13580.92"/>
    <x v="3"/>
    <n v="22"/>
  </r>
  <r>
    <x v="650"/>
    <x v="4"/>
    <m/>
    <s v="CO-97"/>
    <m/>
    <x v="4"/>
    <n v="14137.1"/>
    <x v="0"/>
    <n v="15"/>
  </r>
  <r>
    <x v="651"/>
    <x v="3"/>
    <m/>
    <s v="CO-45"/>
    <m/>
    <x v="6"/>
    <n v="490.76"/>
    <x v="2"/>
    <n v="12"/>
  </r>
  <r>
    <x v="652"/>
    <x v="2"/>
    <m/>
    <s v="CO-16"/>
    <m/>
    <x v="2"/>
    <n v="13629.15"/>
    <x v="0"/>
    <n v="0"/>
  </r>
  <r>
    <x v="653"/>
    <x v="4"/>
    <m/>
    <s v="CO-96"/>
    <m/>
    <x v="5"/>
    <n v="9306.69"/>
    <x v="0"/>
    <n v="5"/>
  </r>
  <r>
    <x v="654"/>
    <x v="4"/>
    <m/>
    <s v="CO-109"/>
    <m/>
    <x v="1"/>
    <n v="7211.51"/>
    <x v="0"/>
    <n v="0"/>
  </r>
  <r>
    <x v="655"/>
    <x v="7"/>
    <m/>
    <s v="CO-16"/>
    <m/>
    <x v="2"/>
    <n v="9657.66"/>
    <x v="3"/>
    <n v="16"/>
  </r>
  <r>
    <x v="656"/>
    <x v="8"/>
    <m/>
    <s v="CO-97"/>
    <m/>
    <x v="4"/>
    <n v="14841.58"/>
    <x v="3"/>
    <n v="23"/>
  </r>
  <r>
    <x v="657"/>
    <x v="7"/>
    <m/>
    <s v="CO-109"/>
    <m/>
    <x v="1"/>
    <n v="11732.45"/>
    <x v="1"/>
    <n v="37"/>
  </r>
  <r>
    <x v="658"/>
    <x v="2"/>
    <m/>
    <s v="CO-18"/>
    <m/>
    <x v="4"/>
    <n v="5856.3"/>
    <x v="0"/>
    <n v="0"/>
  </r>
  <r>
    <x v="659"/>
    <x v="3"/>
    <m/>
    <s v="CO-4"/>
    <m/>
    <x v="2"/>
    <n v="925.94"/>
    <x v="4"/>
    <n v="34"/>
  </r>
  <r>
    <x v="660"/>
    <x v="1"/>
    <m/>
    <s v="CO-96"/>
    <m/>
    <x v="5"/>
    <n v="14994.11"/>
    <x v="4"/>
    <n v="7"/>
  </r>
  <r>
    <x v="661"/>
    <x v="2"/>
    <m/>
    <s v="CO-16"/>
    <m/>
    <x v="2"/>
    <n v="4034.58"/>
    <x v="3"/>
    <n v="59"/>
  </r>
  <r>
    <x v="662"/>
    <x v="3"/>
    <m/>
    <s v="CO-16"/>
    <m/>
    <x v="2"/>
    <n v="8656.6"/>
    <x v="4"/>
    <n v="25"/>
  </r>
  <r>
    <x v="663"/>
    <x v="3"/>
    <m/>
    <s v="CO-197"/>
    <m/>
    <x v="3"/>
    <n v="2682.7"/>
    <x v="2"/>
    <n v="52"/>
  </r>
  <r>
    <x v="664"/>
    <x v="9"/>
    <m/>
    <s v="CO-96"/>
    <m/>
    <x v="5"/>
    <n v="471.69"/>
    <x v="2"/>
    <n v="37"/>
  </r>
  <r>
    <x v="665"/>
    <x v="7"/>
    <m/>
    <s v="CO-197"/>
    <m/>
    <x v="3"/>
    <n v="8468.48"/>
    <x v="0"/>
    <n v="13"/>
  </r>
  <r>
    <x v="666"/>
    <x v="9"/>
    <m/>
    <s v="CO-4"/>
    <m/>
    <x v="2"/>
    <n v="2674.57"/>
    <x v="0"/>
    <n v="0"/>
  </r>
  <r>
    <x v="667"/>
    <x v="9"/>
    <m/>
    <s v="CO-16"/>
    <m/>
    <x v="2"/>
    <n v="347.92"/>
    <x v="1"/>
    <n v="22"/>
  </r>
  <r>
    <x v="668"/>
    <x v="3"/>
    <m/>
    <s v="CO-16"/>
    <m/>
    <x v="2"/>
    <n v="12106.36"/>
    <x v="1"/>
    <n v="12"/>
  </r>
  <r>
    <x v="669"/>
    <x v="6"/>
    <m/>
    <s v="CO-97"/>
    <m/>
    <x v="4"/>
    <n v="377.6"/>
    <x v="2"/>
    <n v="59"/>
  </r>
  <r>
    <x v="670"/>
    <x v="3"/>
    <m/>
    <s v="CO-50"/>
    <m/>
    <x v="0"/>
    <n v="12704.89"/>
    <x v="3"/>
    <n v="5"/>
  </r>
  <r>
    <x v="671"/>
    <x v="6"/>
    <m/>
    <s v="CO-29"/>
    <m/>
    <x v="7"/>
    <n v="8810.9500000000007"/>
    <x v="1"/>
    <n v="21"/>
  </r>
  <r>
    <x v="672"/>
    <x v="8"/>
    <m/>
    <s v="CO-197"/>
    <m/>
    <x v="3"/>
    <n v="10998.66"/>
    <x v="1"/>
    <n v="41"/>
  </r>
  <r>
    <x v="673"/>
    <x v="9"/>
    <m/>
    <s v="CO-18"/>
    <m/>
    <x v="4"/>
    <n v="2654.33"/>
    <x v="4"/>
    <n v="45"/>
  </r>
  <r>
    <x v="674"/>
    <x v="4"/>
    <m/>
    <s v="CO-18"/>
    <m/>
    <x v="4"/>
    <n v="3387.4"/>
    <x v="2"/>
    <n v="12"/>
  </r>
  <r>
    <x v="675"/>
    <x v="2"/>
    <m/>
    <s v="CO-4"/>
    <m/>
    <x v="2"/>
    <n v="11023.22"/>
    <x v="1"/>
    <n v="12"/>
  </r>
  <r>
    <x v="676"/>
    <x v="2"/>
    <m/>
    <s v="CO-96"/>
    <m/>
    <x v="5"/>
    <n v="5904.44"/>
    <x v="4"/>
    <n v="37"/>
  </r>
  <r>
    <x v="677"/>
    <x v="1"/>
    <m/>
    <s v="CO-197"/>
    <m/>
    <x v="3"/>
    <n v="9055.7099999999991"/>
    <x v="4"/>
    <n v="40"/>
  </r>
  <r>
    <x v="678"/>
    <x v="0"/>
    <m/>
    <s v="CO-96"/>
    <m/>
    <x v="5"/>
    <n v="1606.45"/>
    <x v="1"/>
    <n v="22"/>
  </r>
  <r>
    <x v="679"/>
    <x v="0"/>
    <m/>
    <s v="CO-16"/>
    <m/>
    <x v="2"/>
    <n v="5234.8100000000004"/>
    <x v="1"/>
    <n v="41"/>
  </r>
  <r>
    <x v="680"/>
    <x v="3"/>
    <m/>
    <s v="CO-18"/>
    <m/>
    <x v="4"/>
    <n v="6727.12"/>
    <x v="0"/>
    <n v="0"/>
  </r>
  <r>
    <x v="681"/>
    <x v="4"/>
    <m/>
    <s v="CO-4"/>
    <m/>
    <x v="2"/>
    <n v="11815.95"/>
    <x v="3"/>
    <n v="4"/>
  </r>
  <r>
    <x v="682"/>
    <x v="4"/>
    <m/>
    <s v="CO-45"/>
    <m/>
    <x v="6"/>
    <n v="11002.14"/>
    <x v="4"/>
    <n v="57"/>
  </r>
  <r>
    <x v="683"/>
    <x v="0"/>
    <m/>
    <s v="CO-45"/>
    <m/>
    <x v="6"/>
    <n v="13232.47"/>
    <x v="1"/>
    <n v="25"/>
  </r>
  <r>
    <x v="684"/>
    <x v="1"/>
    <m/>
    <s v="CO-45"/>
    <m/>
    <x v="6"/>
    <n v="11841.51"/>
    <x v="2"/>
    <n v="49"/>
  </r>
  <r>
    <x v="685"/>
    <x v="5"/>
    <m/>
    <s v="CO-197"/>
    <m/>
    <x v="3"/>
    <n v="6796.75"/>
    <x v="3"/>
    <n v="3"/>
  </r>
  <r>
    <x v="686"/>
    <x v="3"/>
    <m/>
    <s v="CO-97"/>
    <m/>
    <x v="4"/>
    <n v="4814.82"/>
    <x v="4"/>
    <n v="5"/>
  </r>
  <r>
    <x v="687"/>
    <x v="3"/>
    <m/>
    <s v="CO-197"/>
    <m/>
    <x v="3"/>
    <n v="13324.57"/>
    <x v="0"/>
    <n v="0"/>
  </r>
  <r>
    <x v="688"/>
    <x v="2"/>
    <m/>
    <s v="CO-96"/>
    <m/>
    <x v="5"/>
    <n v="14779.88"/>
    <x v="4"/>
    <n v="46"/>
  </r>
  <r>
    <x v="689"/>
    <x v="6"/>
    <m/>
    <s v="CO-29"/>
    <m/>
    <x v="7"/>
    <n v="14139.51"/>
    <x v="0"/>
    <n v="15"/>
  </r>
  <r>
    <x v="690"/>
    <x v="7"/>
    <m/>
    <s v="CO-97"/>
    <m/>
    <x v="4"/>
    <n v="1563.8"/>
    <x v="0"/>
    <n v="4"/>
  </r>
  <r>
    <x v="691"/>
    <x v="0"/>
    <m/>
    <s v="CO-109"/>
    <m/>
    <x v="1"/>
    <n v="4015.71"/>
    <x v="1"/>
    <n v="16"/>
  </r>
  <r>
    <x v="692"/>
    <x v="6"/>
    <m/>
    <s v="CO-97"/>
    <m/>
    <x v="4"/>
    <n v="5923.89"/>
    <x v="1"/>
    <n v="32"/>
  </r>
  <r>
    <x v="693"/>
    <x v="9"/>
    <m/>
    <s v="CO-97"/>
    <m/>
    <x v="4"/>
    <n v="5444.39"/>
    <x v="1"/>
    <n v="19"/>
  </r>
  <r>
    <x v="694"/>
    <x v="0"/>
    <m/>
    <s v="CO-45"/>
    <m/>
    <x v="6"/>
    <n v="3035.14"/>
    <x v="0"/>
    <n v="0"/>
  </r>
  <r>
    <x v="695"/>
    <x v="8"/>
    <m/>
    <s v="CO-45"/>
    <m/>
    <x v="6"/>
    <n v="12664.35"/>
    <x v="1"/>
    <n v="26"/>
  </r>
  <r>
    <x v="696"/>
    <x v="6"/>
    <m/>
    <s v="CO-45"/>
    <m/>
    <x v="6"/>
    <n v="13428.42"/>
    <x v="0"/>
    <n v="11"/>
  </r>
  <r>
    <x v="697"/>
    <x v="2"/>
    <m/>
    <s v="CO-18"/>
    <m/>
    <x v="4"/>
    <n v="13288.12"/>
    <x v="1"/>
    <n v="29"/>
  </r>
  <r>
    <x v="698"/>
    <x v="9"/>
    <m/>
    <s v="CO-4"/>
    <m/>
    <x v="2"/>
    <n v="6624.12"/>
    <x v="0"/>
    <n v="0"/>
  </r>
  <r>
    <x v="699"/>
    <x v="0"/>
    <m/>
    <s v="CO-97"/>
    <m/>
    <x v="4"/>
    <n v="2309.4"/>
    <x v="2"/>
    <n v="7"/>
  </r>
  <r>
    <x v="700"/>
    <x v="9"/>
    <m/>
    <s v="CO-18"/>
    <m/>
    <x v="4"/>
    <n v="12132.29"/>
    <x v="1"/>
    <n v="49"/>
  </r>
  <r>
    <x v="701"/>
    <x v="7"/>
    <m/>
    <s v="CO-16"/>
    <m/>
    <x v="2"/>
    <n v="8326.35"/>
    <x v="3"/>
    <n v="53"/>
  </r>
  <r>
    <x v="702"/>
    <x v="8"/>
    <m/>
    <s v="CO-29"/>
    <m/>
    <x v="7"/>
    <n v="14486.13"/>
    <x v="2"/>
    <n v="60"/>
  </r>
  <r>
    <x v="703"/>
    <x v="4"/>
    <m/>
    <s v="CO-96"/>
    <m/>
    <x v="5"/>
    <n v="13230.73"/>
    <x v="1"/>
    <n v="6"/>
  </r>
  <r>
    <x v="704"/>
    <x v="9"/>
    <m/>
    <s v="CO-97"/>
    <m/>
    <x v="4"/>
    <n v="7556.42"/>
    <x v="4"/>
    <n v="52"/>
  </r>
  <r>
    <x v="705"/>
    <x v="6"/>
    <m/>
    <s v="CO-96"/>
    <m/>
    <x v="5"/>
    <n v="2254.34"/>
    <x v="4"/>
    <n v="29"/>
  </r>
  <r>
    <x v="706"/>
    <x v="2"/>
    <m/>
    <s v="CO-197"/>
    <m/>
    <x v="3"/>
    <n v="14583.86"/>
    <x v="3"/>
    <n v="9"/>
  </r>
  <r>
    <x v="707"/>
    <x v="6"/>
    <m/>
    <s v="CO-29"/>
    <m/>
    <x v="7"/>
    <n v="1221.6099999999999"/>
    <x v="2"/>
    <n v="13"/>
  </r>
  <r>
    <x v="708"/>
    <x v="0"/>
    <m/>
    <s v="CO-96"/>
    <m/>
    <x v="5"/>
    <n v="3905.4"/>
    <x v="4"/>
    <n v="59"/>
  </r>
  <r>
    <x v="709"/>
    <x v="5"/>
    <m/>
    <s v="CO-50"/>
    <m/>
    <x v="0"/>
    <n v="5852.08"/>
    <x v="1"/>
    <n v="21"/>
  </r>
  <r>
    <x v="710"/>
    <x v="9"/>
    <m/>
    <s v="CO-109"/>
    <m/>
    <x v="1"/>
    <n v="6899.45"/>
    <x v="3"/>
    <n v="51"/>
  </r>
  <r>
    <x v="711"/>
    <x v="6"/>
    <m/>
    <s v="CO-96"/>
    <m/>
    <x v="5"/>
    <n v="7862.3"/>
    <x v="1"/>
    <n v="27"/>
  </r>
  <r>
    <x v="712"/>
    <x v="0"/>
    <m/>
    <s v="CO-197"/>
    <m/>
    <x v="3"/>
    <n v="8520.58"/>
    <x v="2"/>
    <n v="7"/>
  </r>
  <r>
    <x v="713"/>
    <x v="7"/>
    <m/>
    <s v="CO-96"/>
    <m/>
    <x v="5"/>
    <n v="11704.19"/>
    <x v="3"/>
    <n v="56"/>
  </r>
  <r>
    <x v="714"/>
    <x v="9"/>
    <m/>
    <s v="CO-18"/>
    <m/>
    <x v="4"/>
    <n v="13174.51"/>
    <x v="0"/>
    <n v="11"/>
  </r>
  <r>
    <x v="715"/>
    <x v="9"/>
    <m/>
    <s v="CO-96"/>
    <m/>
    <x v="5"/>
    <n v="7122.05"/>
    <x v="0"/>
    <n v="0"/>
  </r>
  <r>
    <x v="716"/>
    <x v="3"/>
    <m/>
    <s v="CO-96"/>
    <m/>
    <x v="5"/>
    <n v="10228.15"/>
    <x v="1"/>
    <n v="26"/>
  </r>
  <r>
    <x v="717"/>
    <x v="3"/>
    <m/>
    <s v="CO-16"/>
    <m/>
    <x v="2"/>
    <n v="786.9"/>
    <x v="1"/>
    <n v="18"/>
  </r>
  <r>
    <x v="718"/>
    <x v="5"/>
    <m/>
    <s v="CO-97"/>
    <m/>
    <x v="4"/>
    <n v="5101.1000000000004"/>
    <x v="3"/>
    <n v="20"/>
  </r>
  <r>
    <x v="719"/>
    <x v="1"/>
    <m/>
    <s v="CO-45"/>
    <m/>
    <x v="6"/>
    <n v="12880.61"/>
    <x v="2"/>
    <n v="56"/>
  </r>
  <r>
    <x v="720"/>
    <x v="3"/>
    <m/>
    <s v="CO-197"/>
    <m/>
    <x v="3"/>
    <n v="4542.18"/>
    <x v="3"/>
    <n v="50"/>
  </r>
  <r>
    <x v="721"/>
    <x v="1"/>
    <m/>
    <s v="CO-4"/>
    <m/>
    <x v="2"/>
    <n v="10945.55"/>
    <x v="2"/>
    <n v="6"/>
  </r>
  <r>
    <x v="722"/>
    <x v="8"/>
    <m/>
    <s v="CO-45"/>
    <m/>
    <x v="6"/>
    <n v="3210.29"/>
    <x v="3"/>
    <n v="48"/>
  </r>
  <r>
    <x v="723"/>
    <x v="6"/>
    <m/>
    <s v="CO-109"/>
    <m/>
    <x v="1"/>
    <n v="13014.48"/>
    <x v="3"/>
    <n v="33"/>
  </r>
  <r>
    <x v="724"/>
    <x v="7"/>
    <m/>
    <s v="CO-50"/>
    <m/>
    <x v="0"/>
    <n v="4701.29"/>
    <x v="1"/>
    <n v="9"/>
  </r>
  <r>
    <x v="725"/>
    <x v="2"/>
    <m/>
    <s v="CO-96"/>
    <m/>
    <x v="5"/>
    <n v="482.77"/>
    <x v="0"/>
    <n v="0"/>
  </r>
  <r>
    <x v="726"/>
    <x v="5"/>
    <m/>
    <s v="CO-16"/>
    <m/>
    <x v="2"/>
    <n v="544.41"/>
    <x v="0"/>
    <n v="0"/>
  </r>
  <r>
    <x v="727"/>
    <x v="0"/>
    <m/>
    <s v="CO-18"/>
    <m/>
    <x v="4"/>
    <n v="12361.42"/>
    <x v="1"/>
    <n v="41"/>
  </r>
  <r>
    <x v="728"/>
    <x v="6"/>
    <m/>
    <s v="CO-97"/>
    <m/>
    <x v="4"/>
    <n v="3666.97"/>
    <x v="1"/>
    <n v="29"/>
  </r>
  <r>
    <x v="729"/>
    <x v="5"/>
    <m/>
    <s v="CO-45"/>
    <m/>
    <x v="6"/>
    <n v="8823.86"/>
    <x v="1"/>
    <n v="11"/>
  </r>
  <r>
    <x v="730"/>
    <x v="9"/>
    <m/>
    <s v="CO-50"/>
    <m/>
    <x v="0"/>
    <n v="4311.79"/>
    <x v="1"/>
    <n v="11"/>
  </r>
  <r>
    <x v="731"/>
    <x v="1"/>
    <m/>
    <s v="CO-16"/>
    <m/>
    <x v="2"/>
    <n v="12863.81"/>
    <x v="2"/>
    <n v="44"/>
  </r>
  <r>
    <x v="732"/>
    <x v="2"/>
    <m/>
    <s v="CO-4"/>
    <m/>
    <x v="2"/>
    <n v="9791.23"/>
    <x v="1"/>
    <n v="56"/>
  </r>
  <r>
    <x v="733"/>
    <x v="2"/>
    <m/>
    <s v="CO-45"/>
    <m/>
    <x v="6"/>
    <n v="13677.16"/>
    <x v="2"/>
    <n v="39"/>
  </r>
  <r>
    <x v="734"/>
    <x v="5"/>
    <m/>
    <s v="CO-16"/>
    <m/>
    <x v="2"/>
    <n v="3823.24"/>
    <x v="3"/>
    <n v="20"/>
  </r>
  <r>
    <x v="735"/>
    <x v="5"/>
    <m/>
    <s v="CO-29"/>
    <m/>
    <x v="7"/>
    <n v="13437.47"/>
    <x v="3"/>
    <n v="30"/>
  </r>
  <r>
    <x v="736"/>
    <x v="9"/>
    <m/>
    <s v="CO-16"/>
    <m/>
    <x v="2"/>
    <n v="7027.14"/>
    <x v="2"/>
    <n v="53"/>
  </r>
  <r>
    <x v="737"/>
    <x v="7"/>
    <m/>
    <s v="CO-29"/>
    <m/>
    <x v="7"/>
    <n v="8788.08"/>
    <x v="0"/>
    <n v="0"/>
  </r>
  <r>
    <x v="738"/>
    <x v="8"/>
    <m/>
    <s v="CO-96"/>
    <m/>
    <x v="5"/>
    <n v="9155.2999999999993"/>
    <x v="1"/>
    <n v="7"/>
  </r>
  <r>
    <x v="739"/>
    <x v="5"/>
    <m/>
    <s v="CO-50"/>
    <m/>
    <x v="0"/>
    <n v="5077.4399999999996"/>
    <x v="0"/>
    <n v="0"/>
  </r>
  <r>
    <x v="740"/>
    <x v="2"/>
    <m/>
    <s v="CO-4"/>
    <m/>
    <x v="2"/>
    <n v="2865.98"/>
    <x v="1"/>
    <n v="16"/>
  </r>
  <r>
    <x v="741"/>
    <x v="2"/>
    <m/>
    <s v="CO-96"/>
    <m/>
    <x v="5"/>
    <n v="6091.27"/>
    <x v="1"/>
    <n v="9"/>
  </r>
  <r>
    <x v="742"/>
    <x v="4"/>
    <m/>
    <s v="CO-45"/>
    <m/>
    <x v="6"/>
    <n v="14962.16"/>
    <x v="0"/>
    <n v="7"/>
  </r>
  <r>
    <x v="743"/>
    <x v="1"/>
    <m/>
    <s v="CO-97"/>
    <m/>
    <x v="4"/>
    <n v="8766.2000000000007"/>
    <x v="4"/>
    <n v="53"/>
  </r>
  <r>
    <x v="744"/>
    <x v="3"/>
    <m/>
    <s v="CO-18"/>
    <m/>
    <x v="4"/>
    <n v="10911.92"/>
    <x v="0"/>
    <n v="9"/>
  </r>
  <r>
    <x v="745"/>
    <x v="5"/>
    <m/>
    <s v="CO-109"/>
    <m/>
    <x v="1"/>
    <n v="4537.91"/>
    <x v="0"/>
    <n v="0"/>
  </r>
  <r>
    <x v="746"/>
    <x v="7"/>
    <m/>
    <s v="CO-50"/>
    <m/>
    <x v="0"/>
    <n v="7088.17"/>
    <x v="3"/>
    <n v="47"/>
  </r>
  <r>
    <x v="747"/>
    <x v="0"/>
    <m/>
    <s v="CO-197"/>
    <m/>
    <x v="3"/>
    <n v="14206.5"/>
    <x v="4"/>
    <n v="42"/>
  </r>
  <r>
    <x v="748"/>
    <x v="4"/>
    <m/>
    <s v="CO-16"/>
    <m/>
    <x v="2"/>
    <n v="5361.49"/>
    <x v="3"/>
    <n v="20"/>
  </r>
  <r>
    <x v="749"/>
    <x v="0"/>
    <m/>
    <s v="CO-18"/>
    <m/>
    <x v="4"/>
    <n v="5606.65"/>
    <x v="2"/>
    <n v="30"/>
  </r>
  <r>
    <x v="750"/>
    <x v="9"/>
    <m/>
    <s v="CO-45"/>
    <m/>
    <x v="6"/>
    <n v="852.47"/>
    <x v="2"/>
    <n v="38"/>
  </r>
  <r>
    <x v="751"/>
    <x v="7"/>
    <m/>
    <s v="CO-50"/>
    <m/>
    <x v="0"/>
    <n v="7109.68"/>
    <x v="0"/>
    <n v="2"/>
  </r>
  <r>
    <x v="752"/>
    <x v="6"/>
    <m/>
    <s v="CO-4"/>
    <m/>
    <x v="2"/>
    <n v="6225.95"/>
    <x v="3"/>
    <n v="10"/>
  </r>
  <r>
    <x v="753"/>
    <x v="8"/>
    <m/>
    <s v="CO-16"/>
    <m/>
    <x v="2"/>
    <n v="5172.91"/>
    <x v="4"/>
    <n v="58"/>
  </r>
  <r>
    <x v="754"/>
    <x v="0"/>
    <m/>
    <s v="CO-197"/>
    <m/>
    <x v="3"/>
    <n v="4779.93"/>
    <x v="2"/>
    <n v="50"/>
  </r>
  <r>
    <x v="755"/>
    <x v="2"/>
    <m/>
    <s v="CO-45"/>
    <m/>
    <x v="6"/>
    <n v="5022.8100000000004"/>
    <x v="4"/>
    <n v="21"/>
  </r>
  <r>
    <x v="756"/>
    <x v="9"/>
    <m/>
    <s v="CO-97"/>
    <m/>
    <x v="4"/>
    <n v="6808.2"/>
    <x v="0"/>
    <n v="0"/>
  </r>
  <r>
    <x v="757"/>
    <x v="6"/>
    <m/>
    <s v="CO-197"/>
    <m/>
    <x v="3"/>
    <n v="7369.18"/>
    <x v="3"/>
    <n v="6"/>
  </r>
  <r>
    <x v="758"/>
    <x v="8"/>
    <m/>
    <s v="CO-96"/>
    <m/>
    <x v="5"/>
    <n v="6533.99"/>
    <x v="1"/>
    <n v="28"/>
  </r>
  <r>
    <x v="759"/>
    <x v="3"/>
    <m/>
    <s v="CO-29"/>
    <m/>
    <x v="7"/>
    <n v="119.8"/>
    <x v="1"/>
    <n v="47"/>
  </r>
  <r>
    <x v="760"/>
    <x v="1"/>
    <m/>
    <s v="CO-97"/>
    <m/>
    <x v="4"/>
    <n v="13385.5"/>
    <x v="3"/>
    <n v="34"/>
  </r>
  <r>
    <x v="761"/>
    <x v="1"/>
    <m/>
    <s v="CO-97"/>
    <m/>
    <x v="4"/>
    <n v="10167.379999999999"/>
    <x v="2"/>
    <n v="16"/>
  </r>
  <r>
    <x v="762"/>
    <x v="6"/>
    <m/>
    <s v="CO-18"/>
    <m/>
    <x v="4"/>
    <n v="4715.78"/>
    <x v="0"/>
    <n v="0"/>
  </r>
  <r>
    <x v="763"/>
    <x v="8"/>
    <m/>
    <s v="CO-50"/>
    <m/>
    <x v="0"/>
    <n v="12366.47"/>
    <x v="1"/>
    <n v="19"/>
  </r>
  <r>
    <x v="764"/>
    <x v="6"/>
    <m/>
    <s v="CO-109"/>
    <m/>
    <x v="1"/>
    <n v="8965.73"/>
    <x v="1"/>
    <n v="57"/>
  </r>
  <r>
    <x v="765"/>
    <x v="1"/>
    <m/>
    <s v="CO-18"/>
    <m/>
    <x v="4"/>
    <n v="14942.28"/>
    <x v="1"/>
    <n v="49"/>
  </r>
  <r>
    <x v="766"/>
    <x v="2"/>
    <m/>
    <s v="CO-197"/>
    <m/>
    <x v="3"/>
    <n v="14223.86"/>
    <x v="4"/>
    <n v="26"/>
  </r>
  <r>
    <x v="767"/>
    <x v="2"/>
    <m/>
    <s v="CO-16"/>
    <m/>
    <x v="2"/>
    <n v="3403.6"/>
    <x v="4"/>
    <n v="14"/>
  </r>
  <r>
    <x v="768"/>
    <x v="4"/>
    <m/>
    <s v="CO-96"/>
    <m/>
    <x v="5"/>
    <n v="7594.27"/>
    <x v="0"/>
    <n v="0"/>
  </r>
  <r>
    <x v="769"/>
    <x v="2"/>
    <m/>
    <s v="CO-4"/>
    <m/>
    <x v="2"/>
    <n v="11580.18"/>
    <x v="2"/>
    <n v="39"/>
  </r>
  <r>
    <x v="770"/>
    <x v="4"/>
    <m/>
    <s v="CO-50"/>
    <m/>
    <x v="0"/>
    <n v="9820.84"/>
    <x v="0"/>
    <n v="0"/>
  </r>
  <r>
    <x v="771"/>
    <x v="6"/>
    <m/>
    <s v="CO-45"/>
    <m/>
    <x v="6"/>
    <n v="5734.79"/>
    <x v="1"/>
    <n v="31"/>
  </r>
  <r>
    <x v="772"/>
    <x v="4"/>
    <m/>
    <s v="CO-16"/>
    <m/>
    <x v="2"/>
    <n v="10443.120000000001"/>
    <x v="2"/>
    <n v="20"/>
  </r>
  <r>
    <x v="773"/>
    <x v="4"/>
    <m/>
    <s v="CO-50"/>
    <m/>
    <x v="0"/>
    <n v="9954.1200000000008"/>
    <x v="0"/>
    <n v="0"/>
  </r>
  <r>
    <x v="774"/>
    <x v="0"/>
    <m/>
    <s v="CO-50"/>
    <m/>
    <x v="0"/>
    <n v="7698.19"/>
    <x v="2"/>
    <n v="19"/>
  </r>
  <r>
    <x v="775"/>
    <x v="5"/>
    <m/>
    <s v="CO-50"/>
    <m/>
    <x v="0"/>
    <n v="7491.2"/>
    <x v="2"/>
    <n v="50"/>
  </r>
  <r>
    <x v="776"/>
    <x v="5"/>
    <m/>
    <s v="CO-109"/>
    <m/>
    <x v="1"/>
    <n v="14598.14"/>
    <x v="1"/>
    <n v="27"/>
  </r>
  <r>
    <x v="777"/>
    <x v="8"/>
    <m/>
    <s v="CO-197"/>
    <m/>
    <x v="3"/>
    <n v="639.12"/>
    <x v="1"/>
    <n v="14"/>
  </r>
  <r>
    <x v="778"/>
    <x v="9"/>
    <m/>
    <s v="CO-18"/>
    <m/>
    <x v="4"/>
    <n v="3555.85"/>
    <x v="0"/>
    <n v="0"/>
  </r>
  <r>
    <x v="779"/>
    <x v="0"/>
    <m/>
    <s v="CO-45"/>
    <m/>
    <x v="6"/>
    <n v="2279.71"/>
    <x v="0"/>
    <n v="0"/>
  </r>
  <r>
    <x v="780"/>
    <x v="5"/>
    <m/>
    <s v="CO-4"/>
    <m/>
    <x v="2"/>
    <n v="9682.84"/>
    <x v="1"/>
    <n v="19"/>
  </r>
  <r>
    <x v="781"/>
    <x v="2"/>
    <m/>
    <s v="CO-45"/>
    <m/>
    <x v="6"/>
    <n v="798.7"/>
    <x v="3"/>
    <n v="56"/>
  </r>
  <r>
    <x v="782"/>
    <x v="0"/>
    <m/>
    <s v="CO-4"/>
    <m/>
    <x v="2"/>
    <n v="5435.21"/>
    <x v="2"/>
    <n v="28"/>
  </r>
  <r>
    <x v="783"/>
    <x v="6"/>
    <m/>
    <s v="CO-50"/>
    <m/>
    <x v="0"/>
    <n v="12776.13"/>
    <x v="4"/>
    <n v="1"/>
  </r>
  <r>
    <x v="784"/>
    <x v="5"/>
    <m/>
    <s v="CO-197"/>
    <m/>
    <x v="3"/>
    <n v="4963.4799999999996"/>
    <x v="4"/>
    <n v="40"/>
  </r>
  <r>
    <x v="785"/>
    <x v="4"/>
    <m/>
    <s v="CO-50"/>
    <m/>
    <x v="0"/>
    <n v="5620.7"/>
    <x v="1"/>
    <n v="8"/>
  </r>
  <r>
    <x v="786"/>
    <x v="4"/>
    <m/>
    <s v="CO-29"/>
    <m/>
    <x v="7"/>
    <n v="14436.53"/>
    <x v="0"/>
    <n v="7"/>
  </r>
  <r>
    <x v="787"/>
    <x v="6"/>
    <m/>
    <s v="CO-197"/>
    <m/>
    <x v="3"/>
    <n v="1740.2"/>
    <x v="2"/>
    <n v="4"/>
  </r>
  <r>
    <x v="788"/>
    <x v="9"/>
    <m/>
    <s v="CO-50"/>
    <m/>
    <x v="0"/>
    <n v="6269.61"/>
    <x v="2"/>
    <n v="52"/>
  </r>
  <r>
    <x v="789"/>
    <x v="9"/>
    <m/>
    <s v="CO-45"/>
    <m/>
    <x v="6"/>
    <n v="2759.85"/>
    <x v="1"/>
    <n v="23"/>
  </r>
  <r>
    <x v="790"/>
    <x v="6"/>
    <m/>
    <s v="CO-97"/>
    <m/>
    <x v="4"/>
    <n v="12945.51"/>
    <x v="3"/>
    <n v="47"/>
  </r>
  <r>
    <x v="791"/>
    <x v="2"/>
    <m/>
    <s v="CO-45"/>
    <m/>
    <x v="6"/>
    <n v="13809.95"/>
    <x v="0"/>
    <n v="7"/>
  </r>
  <r>
    <x v="792"/>
    <x v="7"/>
    <m/>
    <s v="CO-50"/>
    <m/>
    <x v="0"/>
    <n v="3961.11"/>
    <x v="1"/>
    <n v="46"/>
  </r>
  <r>
    <x v="793"/>
    <x v="7"/>
    <m/>
    <s v="CO-96"/>
    <m/>
    <x v="5"/>
    <n v="10870.41"/>
    <x v="0"/>
    <n v="0"/>
  </r>
  <r>
    <x v="794"/>
    <x v="1"/>
    <m/>
    <s v="CO-109"/>
    <m/>
    <x v="1"/>
    <n v="10339.209999999999"/>
    <x v="2"/>
    <n v="28"/>
  </r>
  <r>
    <x v="795"/>
    <x v="6"/>
    <m/>
    <s v="CO-45"/>
    <m/>
    <x v="6"/>
    <n v="5218.95"/>
    <x v="2"/>
    <n v="25"/>
  </r>
  <r>
    <x v="796"/>
    <x v="6"/>
    <m/>
    <s v="CO-109"/>
    <m/>
    <x v="1"/>
    <n v="13386.33"/>
    <x v="2"/>
    <n v="1"/>
  </r>
  <r>
    <x v="797"/>
    <x v="6"/>
    <m/>
    <s v="CO-109"/>
    <m/>
    <x v="1"/>
    <n v="12740.24"/>
    <x v="3"/>
    <n v="56"/>
  </r>
  <r>
    <x v="798"/>
    <x v="5"/>
    <m/>
    <s v="CO-50"/>
    <m/>
    <x v="0"/>
    <n v="11283.88"/>
    <x v="1"/>
    <n v="22"/>
  </r>
  <r>
    <x v="799"/>
    <x v="4"/>
    <m/>
    <s v="CO-97"/>
    <m/>
    <x v="4"/>
    <n v="7628.59"/>
    <x v="2"/>
    <n v="25"/>
  </r>
  <r>
    <x v="800"/>
    <x v="8"/>
    <m/>
    <s v="CO-16"/>
    <m/>
    <x v="2"/>
    <n v="1228.52"/>
    <x v="1"/>
    <n v="37"/>
  </r>
  <r>
    <x v="801"/>
    <x v="8"/>
    <m/>
    <s v="CO-50"/>
    <m/>
    <x v="0"/>
    <n v="12856.01"/>
    <x v="1"/>
    <n v="8"/>
  </r>
  <r>
    <x v="802"/>
    <x v="7"/>
    <m/>
    <s v="CO-97"/>
    <m/>
    <x v="4"/>
    <n v="1584.52"/>
    <x v="1"/>
    <n v="36"/>
  </r>
  <r>
    <x v="803"/>
    <x v="5"/>
    <m/>
    <s v="CO-97"/>
    <m/>
    <x v="4"/>
    <n v="12397.34"/>
    <x v="3"/>
    <n v="40"/>
  </r>
  <r>
    <x v="804"/>
    <x v="3"/>
    <m/>
    <s v="CO-109"/>
    <m/>
    <x v="1"/>
    <n v="8456.8700000000008"/>
    <x v="2"/>
    <n v="30"/>
  </r>
  <r>
    <x v="805"/>
    <x v="8"/>
    <m/>
    <s v="CO-18"/>
    <m/>
    <x v="4"/>
    <n v="12388.4"/>
    <x v="3"/>
    <n v="55"/>
  </r>
  <r>
    <x v="806"/>
    <x v="3"/>
    <m/>
    <s v="CO-18"/>
    <m/>
    <x v="4"/>
    <n v="8424.26"/>
    <x v="2"/>
    <n v="31"/>
  </r>
  <r>
    <x v="807"/>
    <x v="2"/>
    <m/>
    <s v="CO-45"/>
    <m/>
    <x v="6"/>
    <n v="1754.65"/>
    <x v="3"/>
    <n v="15"/>
  </r>
  <r>
    <x v="808"/>
    <x v="5"/>
    <m/>
    <s v="CO-18"/>
    <m/>
    <x v="4"/>
    <n v="5359.33"/>
    <x v="2"/>
    <n v="52"/>
  </r>
  <r>
    <x v="809"/>
    <x v="6"/>
    <m/>
    <s v="CO-109"/>
    <m/>
    <x v="1"/>
    <n v="7853.68"/>
    <x v="2"/>
    <n v="3"/>
  </r>
  <r>
    <x v="810"/>
    <x v="4"/>
    <m/>
    <s v="CO-45"/>
    <m/>
    <x v="6"/>
    <n v="2149.7199999999998"/>
    <x v="2"/>
    <n v="47"/>
  </r>
  <r>
    <x v="811"/>
    <x v="1"/>
    <m/>
    <s v="CO-50"/>
    <m/>
    <x v="0"/>
    <n v="3851.63"/>
    <x v="0"/>
    <n v="2"/>
  </r>
  <r>
    <x v="812"/>
    <x v="4"/>
    <m/>
    <s v="CO-45"/>
    <m/>
    <x v="6"/>
    <n v="12377.08"/>
    <x v="0"/>
    <n v="0"/>
  </r>
  <r>
    <x v="813"/>
    <x v="0"/>
    <m/>
    <s v="CO-97"/>
    <m/>
    <x v="4"/>
    <n v="13903.07"/>
    <x v="3"/>
    <n v="38"/>
  </r>
  <r>
    <x v="814"/>
    <x v="6"/>
    <m/>
    <s v="CO-45"/>
    <m/>
    <x v="6"/>
    <n v="6887.95"/>
    <x v="2"/>
    <n v="33"/>
  </r>
  <r>
    <x v="815"/>
    <x v="4"/>
    <m/>
    <s v="CO-45"/>
    <m/>
    <x v="6"/>
    <n v="114.85"/>
    <x v="3"/>
    <n v="36"/>
  </r>
  <r>
    <x v="816"/>
    <x v="6"/>
    <m/>
    <s v="CO-96"/>
    <m/>
    <x v="5"/>
    <n v="7269.83"/>
    <x v="1"/>
    <n v="59"/>
  </r>
  <r>
    <x v="817"/>
    <x v="4"/>
    <m/>
    <s v="CO-96"/>
    <m/>
    <x v="5"/>
    <n v="2646.07"/>
    <x v="3"/>
    <n v="7"/>
  </r>
  <r>
    <x v="818"/>
    <x v="4"/>
    <m/>
    <s v="CO-96"/>
    <m/>
    <x v="5"/>
    <n v="9112.1"/>
    <x v="1"/>
    <n v="57"/>
  </r>
  <r>
    <x v="819"/>
    <x v="1"/>
    <m/>
    <s v="CO-29"/>
    <m/>
    <x v="7"/>
    <n v="14693.54"/>
    <x v="4"/>
    <n v="49"/>
  </r>
  <r>
    <x v="820"/>
    <x v="8"/>
    <m/>
    <s v="CO-4"/>
    <m/>
    <x v="2"/>
    <n v="5998.16"/>
    <x v="1"/>
    <n v="19"/>
  </r>
  <r>
    <x v="821"/>
    <x v="7"/>
    <m/>
    <s v="CO-197"/>
    <m/>
    <x v="3"/>
    <n v="2115.79"/>
    <x v="2"/>
    <n v="57"/>
  </r>
  <r>
    <x v="822"/>
    <x v="7"/>
    <m/>
    <s v="CO-4"/>
    <m/>
    <x v="2"/>
    <n v="12653.96"/>
    <x v="1"/>
    <n v="21"/>
  </r>
  <r>
    <x v="823"/>
    <x v="3"/>
    <m/>
    <s v="CO-16"/>
    <m/>
    <x v="2"/>
    <n v="3053.29"/>
    <x v="2"/>
    <n v="19"/>
  </r>
  <r>
    <x v="824"/>
    <x v="7"/>
    <m/>
    <s v="CO-197"/>
    <m/>
    <x v="3"/>
    <n v="14720.97"/>
    <x v="2"/>
    <n v="12"/>
  </r>
  <r>
    <x v="825"/>
    <x v="3"/>
    <m/>
    <s v="CO-109"/>
    <m/>
    <x v="1"/>
    <n v="10429.959999999999"/>
    <x v="1"/>
    <n v="8"/>
  </r>
  <r>
    <x v="826"/>
    <x v="4"/>
    <m/>
    <s v="CO-109"/>
    <m/>
    <x v="1"/>
    <n v="7231.53"/>
    <x v="2"/>
    <n v="43"/>
  </r>
  <r>
    <x v="827"/>
    <x v="2"/>
    <m/>
    <s v="CO-109"/>
    <m/>
    <x v="1"/>
    <n v="4324.62"/>
    <x v="3"/>
    <n v="52"/>
  </r>
  <r>
    <x v="828"/>
    <x v="2"/>
    <m/>
    <s v="CO-109"/>
    <m/>
    <x v="1"/>
    <n v="1641.73"/>
    <x v="1"/>
    <n v="4"/>
  </r>
  <r>
    <x v="829"/>
    <x v="5"/>
    <m/>
    <s v="CO-16"/>
    <m/>
    <x v="2"/>
    <n v="4041.33"/>
    <x v="3"/>
    <n v="19"/>
  </r>
  <r>
    <x v="830"/>
    <x v="1"/>
    <m/>
    <s v="CO-197"/>
    <m/>
    <x v="3"/>
    <n v="12598.76"/>
    <x v="2"/>
    <n v="19"/>
  </r>
  <r>
    <x v="831"/>
    <x v="9"/>
    <m/>
    <s v="CO-109"/>
    <m/>
    <x v="1"/>
    <n v="532.98"/>
    <x v="3"/>
    <n v="7"/>
  </r>
  <r>
    <x v="832"/>
    <x v="4"/>
    <m/>
    <s v="CO-109"/>
    <m/>
    <x v="1"/>
    <n v="12979.38"/>
    <x v="3"/>
    <n v="36"/>
  </r>
  <r>
    <x v="833"/>
    <x v="5"/>
    <m/>
    <s v="CO-16"/>
    <m/>
    <x v="2"/>
    <n v="7688.29"/>
    <x v="3"/>
    <n v="45"/>
  </r>
  <r>
    <x v="834"/>
    <x v="3"/>
    <m/>
    <s v="CO-97"/>
    <m/>
    <x v="4"/>
    <n v="13900.95"/>
    <x v="1"/>
    <n v="51"/>
  </r>
  <r>
    <x v="835"/>
    <x v="9"/>
    <m/>
    <s v="CO-109"/>
    <m/>
    <x v="1"/>
    <n v="854.34"/>
    <x v="3"/>
    <n v="13"/>
  </r>
  <r>
    <x v="836"/>
    <x v="3"/>
    <m/>
    <s v="CO-45"/>
    <m/>
    <x v="6"/>
    <n v="12458.25"/>
    <x v="4"/>
    <n v="46"/>
  </r>
  <r>
    <x v="837"/>
    <x v="1"/>
    <m/>
    <s v="CO-96"/>
    <m/>
    <x v="5"/>
    <n v="8221.9"/>
    <x v="2"/>
    <n v="50"/>
  </r>
  <r>
    <x v="838"/>
    <x v="6"/>
    <m/>
    <s v="CO-4"/>
    <m/>
    <x v="2"/>
    <n v="6759.78"/>
    <x v="4"/>
    <n v="5"/>
  </r>
  <r>
    <x v="839"/>
    <x v="5"/>
    <m/>
    <s v="CO-197"/>
    <m/>
    <x v="3"/>
    <n v="11039.44"/>
    <x v="0"/>
    <n v="1"/>
  </r>
  <r>
    <x v="840"/>
    <x v="2"/>
    <m/>
    <s v="CO-109"/>
    <m/>
    <x v="1"/>
    <n v="4000.38"/>
    <x v="0"/>
    <n v="0"/>
  </r>
  <r>
    <x v="841"/>
    <x v="6"/>
    <m/>
    <s v="CO-18"/>
    <m/>
    <x v="4"/>
    <n v="7021.65"/>
    <x v="4"/>
    <n v="3"/>
  </r>
  <r>
    <x v="842"/>
    <x v="9"/>
    <m/>
    <s v="CO-18"/>
    <m/>
    <x v="4"/>
    <n v="8973.36"/>
    <x v="3"/>
    <n v="41"/>
  </r>
  <r>
    <x v="843"/>
    <x v="0"/>
    <m/>
    <s v="CO-4"/>
    <m/>
    <x v="2"/>
    <n v="7383.74"/>
    <x v="2"/>
    <n v="23"/>
  </r>
  <r>
    <x v="844"/>
    <x v="0"/>
    <m/>
    <s v="CO-18"/>
    <m/>
    <x v="4"/>
    <n v="7904.66"/>
    <x v="4"/>
    <n v="34"/>
  </r>
  <r>
    <x v="845"/>
    <x v="0"/>
    <m/>
    <s v="CO-109"/>
    <m/>
    <x v="1"/>
    <n v="2432.59"/>
    <x v="1"/>
    <n v="26"/>
  </r>
  <r>
    <x v="846"/>
    <x v="3"/>
    <m/>
    <s v="CO-18"/>
    <m/>
    <x v="4"/>
    <n v="3356.91"/>
    <x v="0"/>
    <n v="0"/>
  </r>
  <r>
    <x v="847"/>
    <x v="8"/>
    <m/>
    <s v="CO-4"/>
    <m/>
    <x v="2"/>
    <n v="3315.76"/>
    <x v="3"/>
    <n v="34"/>
  </r>
  <r>
    <x v="848"/>
    <x v="0"/>
    <m/>
    <s v="CO-109"/>
    <m/>
    <x v="1"/>
    <n v="12364.14"/>
    <x v="4"/>
    <n v="1"/>
  </r>
  <r>
    <x v="849"/>
    <x v="9"/>
    <m/>
    <s v="CO-18"/>
    <m/>
    <x v="4"/>
    <n v="6712.73"/>
    <x v="4"/>
    <n v="40"/>
  </r>
  <r>
    <x v="850"/>
    <x v="4"/>
    <m/>
    <s v="CO-16"/>
    <m/>
    <x v="2"/>
    <n v="14385.51"/>
    <x v="2"/>
    <n v="21"/>
  </r>
  <r>
    <x v="851"/>
    <x v="2"/>
    <m/>
    <s v="CO-50"/>
    <m/>
    <x v="0"/>
    <n v="5818.85"/>
    <x v="1"/>
    <n v="19"/>
  </r>
  <r>
    <x v="852"/>
    <x v="7"/>
    <m/>
    <s v="CO-109"/>
    <m/>
    <x v="1"/>
    <n v="12340.53"/>
    <x v="1"/>
    <n v="52"/>
  </r>
  <r>
    <x v="853"/>
    <x v="1"/>
    <m/>
    <s v="CO-45"/>
    <m/>
    <x v="6"/>
    <n v="7327.73"/>
    <x v="1"/>
    <n v="42"/>
  </r>
  <r>
    <x v="854"/>
    <x v="7"/>
    <m/>
    <s v="CO-18"/>
    <m/>
    <x v="4"/>
    <n v="7732.73"/>
    <x v="4"/>
    <n v="11"/>
  </r>
  <r>
    <x v="855"/>
    <x v="4"/>
    <m/>
    <s v="CO-109"/>
    <m/>
    <x v="1"/>
    <n v="159.59"/>
    <x v="0"/>
    <n v="0"/>
  </r>
  <r>
    <x v="856"/>
    <x v="4"/>
    <m/>
    <s v="CO-50"/>
    <m/>
    <x v="0"/>
    <n v="3123.41"/>
    <x v="3"/>
    <n v="57"/>
  </r>
  <r>
    <x v="857"/>
    <x v="2"/>
    <m/>
    <s v="CO-50"/>
    <m/>
    <x v="0"/>
    <n v="11216.02"/>
    <x v="0"/>
    <n v="0"/>
  </r>
  <r>
    <x v="858"/>
    <x v="9"/>
    <m/>
    <s v="CO-50"/>
    <m/>
    <x v="0"/>
    <n v="1145.06"/>
    <x v="0"/>
    <n v="0"/>
  </r>
  <r>
    <x v="859"/>
    <x v="4"/>
    <m/>
    <s v="CO-16"/>
    <m/>
    <x v="2"/>
    <n v="13669.25"/>
    <x v="1"/>
    <n v="29"/>
  </r>
  <r>
    <x v="860"/>
    <x v="7"/>
    <m/>
    <s v="CO-29"/>
    <m/>
    <x v="7"/>
    <n v="4780.24"/>
    <x v="1"/>
    <n v="8"/>
  </r>
  <r>
    <x v="861"/>
    <x v="9"/>
    <m/>
    <s v="CO-97"/>
    <m/>
    <x v="4"/>
    <n v="9639.27"/>
    <x v="2"/>
    <n v="49"/>
  </r>
  <r>
    <x v="862"/>
    <x v="5"/>
    <m/>
    <s v="CO-97"/>
    <m/>
    <x v="4"/>
    <n v="10528.19"/>
    <x v="0"/>
    <n v="0"/>
  </r>
  <r>
    <x v="863"/>
    <x v="8"/>
    <m/>
    <s v="CO-4"/>
    <m/>
    <x v="2"/>
    <n v="9118.16"/>
    <x v="1"/>
    <n v="60"/>
  </r>
  <r>
    <x v="864"/>
    <x v="6"/>
    <m/>
    <s v="CO-29"/>
    <m/>
    <x v="7"/>
    <n v="5956.94"/>
    <x v="2"/>
    <n v="31"/>
  </r>
  <r>
    <x v="865"/>
    <x v="7"/>
    <m/>
    <s v="CO-109"/>
    <m/>
    <x v="1"/>
    <n v="3336.99"/>
    <x v="3"/>
    <n v="51"/>
  </r>
  <r>
    <x v="866"/>
    <x v="2"/>
    <m/>
    <s v="CO-4"/>
    <m/>
    <x v="2"/>
    <n v="14404.01"/>
    <x v="0"/>
    <n v="0"/>
  </r>
  <r>
    <x v="867"/>
    <x v="9"/>
    <m/>
    <s v="CO-109"/>
    <m/>
    <x v="1"/>
    <n v="13127.77"/>
    <x v="0"/>
    <n v="0"/>
  </r>
  <r>
    <x v="868"/>
    <x v="5"/>
    <m/>
    <s v="CO-96"/>
    <m/>
    <x v="5"/>
    <n v="5941.52"/>
    <x v="1"/>
    <n v="6"/>
  </r>
  <r>
    <x v="869"/>
    <x v="1"/>
    <m/>
    <s v="CO-16"/>
    <m/>
    <x v="2"/>
    <n v="11237.03"/>
    <x v="4"/>
    <n v="23"/>
  </r>
  <r>
    <x v="870"/>
    <x v="6"/>
    <m/>
    <s v="CO-29"/>
    <m/>
    <x v="7"/>
    <n v="13589.14"/>
    <x v="3"/>
    <n v="10"/>
  </r>
  <r>
    <x v="871"/>
    <x v="0"/>
    <m/>
    <s v="CO-197"/>
    <m/>
    <x v="3"/>
    <n v="3350.78"/>
    <x v="3"/>
    <n v="13"/>
  </r>
  <r>
    <x v="872"/>
    <x v="7"/>
    <m/>
    <s v="CO-197"/>
    <m/>
    <x v="3"/>
    <n v="10081.120000000001"/>
    <x v="2"/>
    <n v="4"/>
  </r>
  <r>
    <x v="873"/>
    <x v="5"/>
    <m/>
    <s v="CO-45"/>
    <m/>
    <x v="6"/>
    <n v="9687.8799999999992"/>
    <x v="0"/>
    <n v="0"/>
  </r>
  <r>
    <x v="874"/>
    <x v="3"/>
    <m/>
    <s v="CO-50"/>
    <m/>
    <x v="0"/>
    <n v="3001.39"/>
    <x v="2"/>
    <n v="22"/>
  </r>
  <r>
    <x v="875"/>
    <x v="1"/>
    <m/>
    <s v="CO-197"/>
    <m/>
    <x v="3"/>
    <n v="10085.870000000001"/>
    <x v="0"/>
    <n v="0"/>
  </r>
  <r>
    <x v="876"/>
    <x v="5"/>
    <m/>
    <s v="CO-18"/>
    <m/>
    <x v="4"/>
    <n v="7313.63"/>
    <x v="1"/>
    <n v="43"/>
  </r>
  <r>
    <x v="877"/>
    <x v="3"/>
    <m/>
    <s v="CO-96"/>
    <m/>
    <x v="5"/>
    <n v="2328.3000000000002"/>
    <x v="2"/>
    <n v="52"/>
  </r>
  <r>
    <x v="878"/>
    <x v="1"/>
    <m/>
    <s v="CO-29"/>
    <m/>
    <x v="7"/>
    <n v="2571.16"/>
    <x v="1"/>
    <n v="51"/>
  </r>
  <r>
    <x v="879"/>
    <x v="3"/>
    <m/>
    <s v="CO-29"/>
    <m/>
    <x v="7"/>
    <n v="4186.3599999999997"/>
    <x v="1"/>
    <n v="44"/>
  </r>
  <r>
    <x v="880"/>
    <x v="8"/>
    <m/>
    <s v="CO-45"/>
    <m/>
    <x v="6"/>
    <n v="6969.58"/>
    <x v="1"/>
    <n v="20"/>
  </r>
  <r>
    <x v="881"/>
    <x v="5"/>
    <m/>
    <s v="CO-109"/>
    <m/>
    <x v="1"/>
    <n v="1677.05"/>
    <x v="2"/>
    <n v="6"/>
  </r>
  <r>
    <x v="882"/>
    <x v="0"/>
    <m/>
    <s v="CO-197"/>
    <m/>
    <x v="3"/>
    <n v="13374.89"/>
    <x v="0"/>
    <n v="0"/>
  </r>
  <r>
    <x v="883"/>
    <x v="9"/>
    <m/>
    <s v="CO-97"/>
    <m/>
    <x v="4"/>
    <n v="12751.33"/>
    <x v="2"/>
    <n v="53"/>
  </r>
  <r>
    <x v="884"/>
    <x v="2"/>
    <m/>
    <s v="CO-96"/>
    <m/>
    <x v="5"/>
    <n v="6106.76"/>
    <x v="2"/>
    <n v="59"/>
  </r>
  <r>
    <x v="885"/>
    <x v="8"/>
    <m/>
    <s v="CO-109"/>
    <m/>
    <x v="1"/>
    <n v="3946.21"/>
    <x v="4"/>
    <n v="35"/>
  </r>
  <r>
    <x v="886"/>
    <x v="6"/>
    <m/>
    <s v="CO-197"/>
    <m/>
    <x v="3"/>
    <n v="5518.99"/>
    <x v="0"/>
    <n v="0"/>
  </r>
  <r>
    <x v="887"/>
    <x v="1"/>
    <m/>
    <s v="CO-45"/>
    <m/>
    <x v="6"/>
    <n v="7541.79"/>
    <x v="0"/>
    <n v="0"/>
  </r>
  <r>
    <x v="888"/>
    <x v="8"/>
    <m/>
    <s v="CO-96"/>
    <m/>
    <x v="5"/>
    <n v="10278.219999999999"/>
    <x v="3"/>
    <n v="9"/>
  </r>
  <r>
    <x v="889"/>
    <x v="6"/>
    <m/>
    <s v="CO-197"/>
    <m/>
    <x v="3"/>
    <n v="2728.22"/>
    <x v="4"/>
    <n v="43"/>
  </r>
  <r>
    <x v="890"/>
    <x v="1"/>
    <m/>
    <s v="CO-45"/>
    <m/>
    <x v="6"/>
    <n v="14090.67"/>
    <x v="0"/>
    <n v="13"/>
  </r>
  <r>
    <x v="891"/>
    <x v="7"/>
    <m/>
    <s v="CO-50"/>
    <m/>
    <x v="0"/>
    <n v="4002.14"/>
    <x v="0"/>
    <n v="0"/>
  </r>
  <r>
    <x v="892"/>
    <x v="2"/>
    <m/>
    <s v="CO-18"/>
    <m/>
    <x v="4"/>
    <n v="5851.99"/>
    <x v="4"/>
    <n v="57"/>
  </r>
  <r>
    <x v="893"/>
    <x v="7"/>
    <m/>
    <s v="CO-97"/>
    <m/>
    <x v="4"/>
    <n v="14709.82"/>
    <x v="1"/>
    <n v="46"/>
  </r>
  <r>
    <x v="894"/>
    <x v="4"/>
    <m/>
    <s v="CO-4"/>
    <m/>
    <x v="2"/>
    <n v="12531.34"/>
    <x v="0"/>
    <n v="0"/>
  </r>
  <r>
    <x v="895"/>
    <x v="0"/>
    <m/>
    <s v="CO-29"/>
    <m/>
    <x v="7"/>
    <n v="5511.19"/>
    <x v="2"/>
    <n v="54"/>
  </r>
  <r>
    <x v="896"/>
    <x v="7"/>
    <m/>
    <s v="CO-109"/>
    <m/>
    <x v="1"/>
    <n v="3811.22"/>
    <x v="4"/>
    <n v="15"/>
  </r>
  <r>
    <x v="897"/>
    <x v="8"/>
    <m/>
    <s v="CO-29"/>
    <m/>
    <x v="7"/>
    <n v="5325.83"/>
    <x v="3"/>
    <n v="32"/>
  </r>
  <r>
    <x v="898"/>
    <x v="6"/>
    <m/>
    <s v="CO-96"/>
    <m/>
    <x v="5"/>
    <n v="148.63999999999999"/>
    <x v="4"/>
    <n v="29"/>
  </r>
  <r>
    <x v="899"/>
    <x v="6"/>
    <m/>
    <s v="CO-16"/>
    <m/>
    <x v="2"/>
    <n v="1202.47"/>
    <x v="2"/>
    <n v="14"/>
  </r>
  <r>
    <x v="900"/>
    <x v="0"/>
    <m/>
    <s v="CO-197"/>
    <m/>
    <x v="3"/>
    <n v="2402.4899999999998"/>
    <x v="2"/>
    <n v="53"/>
  </r>
  <r>
    <x v="901"/>
    <x v="8"/>
    <m/>
    <s v="CO-16"/>
    <m/>
    <x v="2"/>
    <n v="6248.47"/>
    <x v="1"/>
    <n v="8"/>
  </r>
  <r>
    <x v="902"/>
    <x v="4"/>
    <m/>
    <s v="CO-45"/>
    <m/>
    <x v="6"/>
    <n v="7211.37"/>
    <x v="2"/>
    <n v="42"/>
  </r>
  <r>
    <x v="903"/>
    <x v="6"/>
    <m/>
    <s v="CO-97"/>
    <m/>
    <x v="4"/>
    <n v="3692.87"/>
    <x v="0"/>
    <n v="0"/>
  </r>
  <r>
    <x v="904"/>
    <x v="6"/>
    <m/>
    <s v="CO-109"/>
    <m/>
    <x v="1"/>
    <n v="635.9"/>
    <x v="2"/>
    <n v="4"/>
  </r>
  <r>
    <x v="905"/>
    <x v="9"/>
    <m/>
    <s v="CO-4"/>
    <m/>
    <x v="2"/>
    <n v="13840.58"/>
    <x v="1"/>
    <n v="26"/>
  </r>
  <r>
    <x v="906"/>
    <x v="5"/>
    <m/>
    <s v="CO-96"/>
    <m/>
    <x v="5"/>
    <n v="9582.4599999999991"/>
    <x v="3"/>
    <n v="47"/>
  </r>
  <r>
    <x v="907"/>
    <x v="8"/>
    <m/>
    <s v="CO-50"/>
    <m/>
    <x v="0"/>
    <n v="3288.07"/>
    <x v="2"/>
    <n v="31"/>
  </r>
  <r>
    <x v="908"/>
    <x v="9"/>
    <m/>
    <s v="CO-197"/>
    <m/>
    <x v="3"/>
    <n v="3329.49"/>
    <x v="1"/>
    <n v="10"/>
  </r>
  <r>
    <x v="909"/>
    <x v="3"/>
    <m/>
    <s v="CO-197"/>
    <m/>
    <x v="3"/>
    <n v="9367.02"/>
    <x v="1"/>
    <n v="11"/>
  </r>
  <r>
    <x v="910"/>
    <x v="6"/>
    <m/>
    <s v="CO-45"/>
    <m/>
    <x v="6"/>
    <n v="8968.17"/>
    <x v="0"/>
    <n v="7"/>
  </r>
  <r>
    <x v="911"/>
    <x v="7"/>
    <m/>
    <s v="CO-50"/>
    <m/>
    <x v="0"/>
    <n v="297.61"/>
    <x v="1"/>
    <n v="59"/>
  </r>
  <r>
    <x v="912"/>
    <x v="8"/>
    <m/>
    <s v="CO-29"/>
    <m/>
    <x v="7"/>
    <n v="12406.39"/>
    <x v="2"/>
    <n v="12"/>
  </r>
  <r>
    <x v="913"/>
    <x v="7"/>
    <m/>
    <s v="CO-96"/>
    <m/>
    <x v="5"/>
    <n v="9017.2199999999993"/>
    <x v="3"/>
    <n v="35"/>
  </r>
  <r>
    <x v="914"/>
    <x v="9"/>
    <m/>
    <s v="CO-50"/>
    <m/>
    <x v="0"/>
    <n v="1443.19"/>
    <x v="2"/>
    <n v="58"/>
  </r>
  <r>
    <x v="915"/>
    <x v="4"/>
    <m/>
    <s v="CO-109"/>
    <m/>
    <x v="1"/>
    <n v="12421.45"/>
    <x v="4"/>
    <n v="50"/>
  </r>
  <r>
    <x v="916"/>
    <x v="7"/>
    <m/>
    <s v="CO-109"/>
    <m/>
    <x v="1"/>
    <n v="6339.23"/>
    <x v="3"/>
    <n v="45"/>
  </r>
  <r>
    <x v="917"/>
    <x v="4"/>
    <m/>
    <s v="CO-29"/>
    <m/>
    <x v="7"/>
    <n v="3480.82"/>
    <x v="3"/>
    <n v="51"/>
  </r>
  <r>
    <x v="918"/>
    <x v="9"/>
    <m/>
    <s v="CO-18"/>
    <m/>
    <x v="4"/>
    <n v="8856.27"/>
    <x v="3"/>
    <n v="49"/>
  </r>
  <r>
    <x v="919"/>
    <x v="0"/>
    <m/>
    <s v="CO-50"/>
    <m/>
    <x v="0"/>
    <n v="6411.07"/>
    <x v="0"/>
    <n v="0"/>
  </r>
  <r>
    <x v="920"/>
    <x v="1"/>
    <m/>
    <s v="CO-4"/>
    <m/>
    <x v="2"/>
    <n v="8994.4699999999993"/>
    <x v="1"/>
    <n v="17"/>
  </r>
  <r>
    <x v="921"/>
    <x v="7"/>
    <m/>
    <s v="CO-97"/>
    <m/>
    <x v="4"/>
    <n v="10651.78"/>
    <x v="3"/>
    <n v="37"/>
  </r>
  <r>
    <x v="922"/>
    <x v="3"/>
    <m/>
    <s v="CO-50"/>
    <m/>
    <x v="0"/>
    <n v="7820.44"/>
    <x v="1"/>
    <n v="14"/>
  </r>
  <r>
    <x v="923"/>
    <x v="5"/>
    <m/>
    <s v="CO-29"/>
    <m/>
    <x v="7"/>
    <n v="5465.93"/>
    <x v="0"/>
    <n v="0"/>
  </r>
  <r>
    <x v="924"/>
    <x v="4"/>
    <m/>
    <s v="CO-109"/>
    <m/>
    <x v="1"/>
    <n v="6382.25"/>
    <x v="1"/>
    <n v="18"/>
  </r>
  <r>
    <x v="925"/>
    <x v="6"/>
    <m/>
    <s v="CO-16"/>
    <m/>
    <x v="2"/>
    <n v="6227.76"/>
    <x v="3"/>
    <n v="31"/>
  </r>
  <r>
    <x v="926"/>
    <x v="9"/>
    <m/>
    <s v="CO-18"/>
    <m/>
    <x v="4"/>
    <n v="8408.4500000000007"/>
    <x v="1"/>
    <n v="20"/>
  </r>
  <r>
    <x v="927"/>
    <x v="0"/>
    <m/>
    <s v="CO-18"/>
    <m/>
    <x v="4"/>
    <n v="11624.21"/>
    <x v="1"/>
    <n v="9"/>
  </r>
  <r>
    <x v="928"/>
    <x v="0"/>
    <m/>
    <s v="CO-16"/>
    <m/>
    <x v="2"/>
    <n v="6726.59"/>
    <x v="2"/>
    <n v="11"/>
  </r>
  <r>
    <x v="929"/>
    <x v="7"/>
    <m/>
    <s v="CO-16"/>
    <m/>
    <x v="2"/>
    <n v="7649.74"/>
    <x v="3"/>
    <n v="52"/>
  </r>
  <r>
    <x v="930"/>
    <x v="4"/>
    <m/>
    <s v="CO-96"/>
    <m/>
    <x v="5"/>
    <n v="10471.01"/>
    <x v="2"/>
    <n v="11"/>
  </r>
  <r>
    <x v="931"/>
    <x v="9"/>
    <m/>
    <s v="CO-97"/>
    <m/>
    <x v="4"/>
    <n v="12075.32"/>
    <x v="3"/>
    <n v="31"/>
  </r>
  <r>
    <x v="932"/>
    <x v="9"/>
    <m/>
    <s v="CO-29"/>
    <m/>
    <x v="7"/>
    <n v="1367.7"/>
    <x v="0"/>
    <n v="0"/>
  </r>
  <r>
    <x v="933"/>
    <x v="9"/>
    <m/>
    <s v="CO-97"/>
    <m/>
    <x v="4"/>
    <n v="10881.2"/>
    <x v="4"/>
    <n v="26"/>
  </r>
  <r>
    <x v="934"/>
    <x v="6"/>
    <m/>
    <s v="CO-109"/>
    <m/>
    <x v="1"/>
    <n v="4332.72"/>
    <x v="4"/>
    <n v="4"/>
  </r>
  <r>
    <x v="935"/>
    <x v="1"/>
    <m/>
    <s v="CO-45"/>
    <m/>
    <x v="6"/>
    <n v="6612.63"/>
    <x v="0"/>
    <n v="0"/>
  </r>
  <r>
    <x v="936"/>
    <x v="1"/>
    <m/>
    <s v="CO-97"/>
    <m/>
    <x v="4"/>
    <n v="11770.19"/>
    <x v="1"/>
    <n v="45"/>
  </r>
  <r>
    <x v="937"/>
    <x v="6"/>
    <m/>
    <s v="CO-96"/>
    <m/>
    <x v="5"/>
    <n v="2583.77"/>
    <x v="0"/>
    <n v="0"/>
  </r>
  <r>
    <x v="938"/>
    <x v="4"/>
    <m/>
    <s v="CO-50"/>
    <m/>
    <x v="0"/>
    <n v="14952.42"/>
    <x v="3"/>
    <n v="23"/>
  </r>
  <r>
    <x v="939"/>
    <x v="0"/>
    <m/>
    <s v="CO-29"/>
    <m/>
    <x v="7"/>
    <n v="8811.9"/>
    <x v="1"/>
    <n v="48"/>
  </r>
  <r>
    <x v="940"/>
    <x v="9"/>
    <m/>
    <s v="CO-50"/>
    <m/>
    <x v="0"/>
    <n v="8266.41"/>
    <x v="3"/>
    <n v="36"/>
  </r>
  <r>
    <x v="941"/>
    <x v="9"/>
    <m/>
    <s v="CO-18"/>
    <m/>
    <x v="4"/>
    <n v="5244.75"/>
    <x v="3"/>
    <n v="15"/>
  </r>
  <r>
    <x v="942"/>
    <x v="5"/>
    <m/>
    <s v="CO-16"/>
    <m/>
    <x v="2"/>
    <n v="6848.65"/>
    <x v="1"/>
    <n v="1"/>
  </r>
  <r>
    <x v="943"/>
    <x v="3"/>
    <m/>
    <s v="CO-197"/>
    <m/>
    <x v="3"/>
    <n v="6136.66"/>
    <x v="0"/>
    <n v="0"/>
  </r>
  <r>
    <x v="944"/>
    <x v="7"/>
    <m/>
    <s v="CO-50"/>
    <m/>
    <x v="0"/>
    <n v="12053.99"/>
    <x v="4"/>
    <n v="57"/>
  </r>
  <r>
    <x v="945"/>
    <x v="9"/>
    <m/>
    <s v="CO-96"/>
    <m/>
    <x v="5"/>
    <n v="3789.62"/>
    <x v="1"/>
    <n v="25"/>
  </r>
  <r>
    <x v="946"/>
    <x v="8"/>
    <m/>
    <s v="CO-45"/>
    <m/>
    <x v="6"/>
    <n v="11561.01"/>
    <x v="3"/>
    <n v="50"/>
  </r>
  <r>
    <x v="947"/>
    <x v="0"/>
    <m/>
    <s v="CO-45"/>
    <m/>
    <x v="6"/>
    <n v="13453.03"/>
    <x v="3"/>
    <n v="31"/>
  </r>
  <r>
    <x v="948"/>
    <x v="1"/>
    <m/>
    <s v="CO-4"/>
    <m/>
    <x v="2"/>
    <n v="1059.94"/>
    <x v="2"/>
    <n v="15"/>
  </r>
  <r>
    <x v="949"/>
    <x v="2"/>
    <m/>
    <s v="CO-18"/>
    <m/>
    <x v="4"/>
    <n v="6215.77"/>
    <x v="1"/>
    <n v="35"/>
  </r>
  <r>
    <x v="950"/>
    <x v="0"/>
    <m/>
    <s v="CO-4"/>
    <m/>
    <x v="2"/>
    <n v="3761.45"/>
    <x v="0"/>
    <n v="0"/>
  </r>
  <r>
    <x v="951"/>
    <x v="1"/>
    <m/>
    <s v="CO-109"/>
    <m/>
    <x v="1"/>
    <n v="13974.37"/>
    <x v="1"/>
    <n v="23"/>
  </r>
  <r>
    <x v="952"/>
    <x v="1"/>
    <m/>
    <s v="CO-96"/>
    <m/>
    <x v="5"/>
    <n v="4072.68"/>
    <x v="4"/>
    <n v="44"/>
  </r>
  <r>
    <x v="953"/>
    <x v="1"/>
    <m/>
    <s v="CO-45"/>
    <m/>
    <x v="6"/>
    <n v="11069.83"/>
    <x v="0"/>
    <n v="0"/>
  </r>
  <r>
    <x v="954"/>
    <x v="6"/>
    <m/>
    <s v="CO-16"/>
    <m/>
    <x v="2"/>
    <n v="3081.36"/>
    <x v="0"/>
    <n v="0"/>
  </r>
  <r>
    <x v="955"/>
    <x v="9"/>
    <m/>
    <s v="CO-50"/>
    <m/>
    <x v="0"/>
    <n v="1842.18"/>
    <x v="0"/>
    <n v="11"/>
  </r>
  <r>
    <x v="956"/>
    <x v="8"/>
    <m/>
    <s v="CO-97"/>
    <m/>
    <x v="4"/>
    <n v="11475.45"/>
    <x v="1"/>
    <n v="3"/>
  </r>
  <r>
    <x v="957"/>
    <x v="9"/>
    <m/>
    <s v="CO-18"/>
    <m/>
    <x v="4"/>
    <n v="9328.98"/>
    <x v="1"/>
    <n v="57"/>
  </r>
  <r>
    <x v="958"/>
    <x v="7"/>
    <m/>
    <s v="CO-4"/>
    <m/>
    <x v="2"/>
    <n v="7387.54"/>
    <x v="4"/>
    <n v="59"/>
  </r>
  <r>
    <x v="959"/>
    <x v="2"/>
    <m/>
    <s v="CO-4"/>
    <m/>
    <x v="2"/>
    <n v="5998.3"/>
    <x v="3"/>
    <n v="9"/>
  </r>
  <r>
    <x v="960"/>
    <x v="2"/>
    <m/>
    <s v="CO-109"/>
    <m/>
    <x v="1"/>
    <n v="11999.09"/>
    <x v="1"/>
    <n v="35"/>
  </r>
  <r>
    <x v="961"/>
    <x v="6"/>
    <m/>
    <s v="CO-109"/>
    <m/>
    <x v="1"/>
    <n v="5241.97"/>
    <x v="3"/>
    <n v="50"/>
  </r>
  <r>
    <x v="962"/>
    <x v="3"/>
    <m/>
    <s v="CO-45"/>
    <m/>
    <x v="6"/>
    <n v="14648.78"/>
    <x v="2"/>
    <n v="30"/>
  </r>
  <r>
    <x v="963"/>
    <x v="3"/>
    <m/>
    <s v="CO-97"/>
    <m/>
    <x v="4"/>
    <n v="226.71"/>
    <x v="0"/>
    <n v="0"/>
  </r>
  <r>
    <x v="964"/>
    <x v="1"/>
    <m/>
    <s v="CO-18"/>
    <m/>
    <x v="4"/>
    <n v="9211.0300000000007"/>
    <x v="0"/>
    <n v="0"/>
  </r>
  <r>
    <x v="965"/>
    <x v="6"/>
    <m/>
    <s v="CO-4"/>
    <m/>
    <x v="2"/>
    <n v="7096.61"/>
    <x v="2"/>
    <n v="24"/>
  </r>
  <r>
    <x v="966"/>
    <x v="3"/>
    <m/>
    <s v="CO-45"/>
    <m/>
    <x v="6"/>
    <n v="6387.95"/>
    <x v="1"/>
    <n v="49"/>
  </r>
  <r>
    <x v="967"/>
    <x v="9"/>
    <m/>
    <s v="CO-18"/>
    <m/>
    <x v="4"/>
    <n v="12822.18"/>
    <x v="0"/>
    <n v="0"/>
  </r>
  <r>
    <x v="968"/>
    <x v="1"/>
    <m/>
    <s v="CO-16"/>
    <m/>
    <x v="2"/>
    <n v="12222.15"/>
    <x v="3"/>
    <n v="52"/>
  </r>
  <r>
    <x v="969"/>
    <x v="6"/>
    <m/>
    <s v="CO-109"/>
    <m/>
    <x v="1"/>
    <n v="6511.67"/>
    <x v="1"/>
    <n v="10"/>
  </r>
  <r>
    <x v="970"/>
    <x v="7"/>
    <m/>
    <s v="CO-45"/>
    <m/>
    <x v="6"/>
    <n v="12094.74"/>
    <x v="0"/>
    <n v="0"/>
  </r>
  <r>
    <x v="971"/>
    <x v="5"/>
    <m/>
    <s v="CO-109"/>
    <m/>
    <x v="1"/>
    <n v="10822.38"/>
    <x v="3"/>
    <n v="20"/>
  </r>
  <r>
    <x v="972"/>
    <x v="2"/>
    <m/>
    <s v="CO-109"/>
    <m/>
    <x v="1"/>
    <n v="12884.6"/>
    <x v="0"/>
    <n v="0"/>
  </r>
  <r>
    <x v="973"/>
    <x v="0"/>
    <m/>
    <s v="CO-16"/>
    <m/>
    <x v="2"/>
    <n v="12216.58"/>
    <x v="1"/>
    <n v="41"/>
  </r>
  <r>
    <x v="974"/>
    <x v="3"/>
    <m/>
    <s v="CO-45"/>
    <m/>
    <x v="6"/>
    <n v="11181.67"/>
    <x v="0"/>
    <n v="0"/>
  </r>
  <r>
    <x v="975"/>
    <x v="9"/>
    <m/>
    <s v="CO-97"/>
    <m/>
    <x v="4"/>
    <n v="6205.83"/>
    <x v="1"/>
    <n v="44"/>
  </r>
  <r>
    <x v="976"/>
    <x v="6"/>
    <m/>
    <s v="CO-16"/>
    <m/>
    <x v="2"/>
    <n v="8673.9599999999991"/>
    <x v="2"/>
    <n v="35"/>
  </r>
  <r>
    <x v="977"/>
    <x v="8"/>
    <m/>
    <s v="CO-4"/>
    <m/>
    <x v="2"/>
    <n v="5358.88"/>
    <x v="2"/>
    <n v="32"/>
  </r>
  <r>
    <x v="978"/>
    <x v="6"/>
    <m/>
    <s v="CO-50"/>
    <m/>
    <x v="0"/>
    <n v="5747.01"/>
    <x v="1"/>
    <n v="41"/>
  </r>
  <r>
    <x v="979"/>
    <x v="9"/>
    <m/>
    <s v="CO-197"/>
    <m/>
    <x v="3"/>
    <n v="9626.68"/>
    <x v="4"/>
    <n v="27"/>
  </r>
  <r>
    <x v="980"/>
    <x v="6"/>
    <m/>
    <s v="CO-96"/>
    <m/>
    <x v="5"/>
    <n v="6101.35"/>
    <x v="4"/>
    <n v="6"/>
  </r>
  <r>
    <x v="981"/>
    <x v="5"/>
    <m/>
    <s v="CO-18"/>
    <m/>
    <x v="4"/>
    <n v="3461.86"/>
    <x v="1"/>
    <n v="19"/>
  </r>
  <r>
    <x v="982"/>
    <x v="9"/>
    <m/>
    <s v="CO-96"/>
    <m/>
    <x v="5"/>
    <n v="9687.43"/>
    <x v="0"/>
    <n v="0"/>
  </r>
  <r>
    <x v="983"/>
    <x v="2"/>
    <m/>
    <s v="CO-109"/>
    <m/>
    <x v="1"/>
    <n v="14484.61"/>
    <x v="1"/>
    <n v="12"/>
  </r>
  <r>
    <x v="984"/>
    <x v="0"/>
    <m/>
    <s v="CO-197"/>
    <m/>
    <x v="3"/>
    <n v="10930.2"/>
    <x v="2"/>
    <n v="48"/>
  </r>
  <r>
    <x v="985"/>
    <x v="7"/>
    <m/>
    <s v="CO-16"/>
    <m/>
    <x v="2"/>
    <n v="2545.31"/>
    <x v="0"/>
    <n v="2"/>
  </r>
  <r>
    <x v="986"/>
    <x v="0"/>
    <m/>
    <s v="CO-97"/>
    <m/>
    <x v="4"/>
    <n v="444.16"/>
    <x v="1"/>
    <n v="49"/>
  </r>
  <r>
    <x v="987"/>
    <x v="5"/>
    <m/>
    <s v="CO-50"/>
    <m/>
    <x v="0"/>
    <n v="3973.66"/>
    <x v="0"/>
    <n v="11"/>
  </r>
  <r>
    <x v="988"/>
    <x v="6"/>
    <m/>
    <s v="CO-16"/>
    <m/>
    <x v="2"/>
    <n v="3748.58"/>
    <x v="1"/>
    <n v="41"/>
  </r>
  <r>
    <x v="989"/>
    <x v="3"/>
    <m/>
    <s v="CO-197"/>
    <m/>
    <x v="3"/>
    <n v="7924.8"/>
    <x v="0"/>
    <n v="0"/>
  </r>
  <r>
    <x v="990"/>
    <x v="5"/>
    <m/>
    <s v="CO-45"/>
    <m/>
    <x v="6"/>
    <n v="7034.54"/>
    <x v="3"/>
    <n v="60"/>
  </r>
  <r>
    <x v="991"/>
    <x v="7"/>
    <m/>
    <s v="CO-109"/>
    <m/>
    <x v="1"/>
    <n v="6700.43"/>
    <x v="4"/>
    <n v="45"/>
  </r>
  <r>
    <x v="992"/>
    <x v="9"/>
    <m/>
    <s v="CO-197"/>
    <m/>
    <x v="3"/>
    <n v="8882.92"/>
    <x v="1"/>
    <n v="48"/>
  </r>
  <r>
    <x v="993"/>
    <x v="3"/>
    <m/>
    <s v="CO-29"/>
    <m/>
    <x v="7"/>
    <n v="7875.72"/>
    <x v="2"/>
    <n v="20"/>
  </r>
  <r>
    <x v="994"/>
    <x v="5"/>
    <m/>
    <s v="CO-45"/>
    <m/>
    <x v="6"/>
    <n v="8118.04"/>
    <x v="3"/>
    <n v="29"/>
  </r>
  <r>
    <x v="995"/>
    <x v="7"/>
    <m/>
    <s v="CO-18"/>
    <m/>
    <x v="4"/>
    <n v="6212.45"/>
    <x v="0"/>
    <n v="0"/>
  </r>
  <r>
    <x v="996"/>
    <x v="8"/>
    <m/>
    <s v="CO-197"/>
    <m/>
    <x v="3"/>
    <n v="5191.08"/>
    <x v="1"/>
    <n v="1"/>
  </r>
  <r>
    <x v="997"/>
    <x v="5"/>
    <m/>
    <s v="CO-45"/>
    <m/>
    <x v="6"/>
    <n v="4529.18"/>
    <x v="3"/>
    <n v="52"/>
  </r>
  <r>
    <x v="998"/>
    <x v="4"/>
    <m/>
    <s v="CO-96"/>
    <m/>
    <x v="5"/>
    <n v="3506.67"/>
    <x v="0"/>
    <n v="0"/>
  </r>
  <r>
    <x v="999"/>
    <x v="4"/>
    <m/>
    <s v="CO-109"/>
    <m/>
    <x v="1"/>
    <n v="6584.74"/>
    <x v="0"/>
    <n v="12"/>
  </r>
  <r>
    <x v="1000"/>
    <x v="7"/>
    <m/>
    <s v="CO-16"/>
    <m/>
    <x v="2"/>
    <n v="3981.56"/>
    <x v="1"/>
    <n v="16"/>
  </r>
  <r>
    <x v="1001"/>
    <x v="7"/>
    <m/>
    <s v="CO-96"/>
    <m/>
    <x v="5"/>
    <n v="12123.25"/>
    <x v="2"/>
    <n v="19"/>
  </r>
  <r>
    <x v="1002"/>
    <x v="6"/>
    <m/>
    <s v="CO-4"/>
    <m/>
    <x v="2"/>
    <n v="6222.91"/>
    <x v="3"/>
    <n v="12"/>
  </r>
  <r>
    <x v="1003"/>
    <x v="5"/>
    <m/>
    <s v="CO-4"/>
    <m/>
    <x v="2"/>
    <n v="1699.83"/>
    <x v="1"/>
    <n v="29"/>
  </r>
  <r>
    <x v="1004"/>
    <x v="2"/>
    <m/>
    <s v="CO-96"/>
    <m/>
    <x v="5"/>
    <n v="7405.34"/>
    <x v="1"/>
    <n v="10"/>
  </r>
  <r>
    <x v="1005"/>
    <x v="5"/>
    <m/>
    <s v="CO-109"/>
    <m/>
    <x v="1"/>
    <n v="380.86"/>
    <x v="4"/>
    <n v="19"/>
  </r>
  <r>
    <x v="1006"/>
    <x v="0"/>
    <m/>
    <s v="CO-197"/>
    <m/>
    <x v="3"/>
    <n v="10742.18"/>
    <x v="3"/>
    <n v="15"/>
  </r>
  <r>
    <x v="1007"/>
    <x v="8"/>
    <m/>
    <s v="CO-197"/>
    <m/>
    <x v="3"/>
    <n v="270.14"/>
    <x v="0"/>
    <n v="0"/>
  </r>
  <r>
    <x v="1008"/>
    <x v="0"/>
    <m/>
    <s v="CO-18"/>
    <m/>
    <x v="4"/>
    <n v="6982.08"/>
    <x v="3"/>
    <n v="22"/>
  </r>
  <r>
    <x v="1009"/>
    <x v="7"/>
    <m/>
    <s v="CO-197"/>
    <m/>
    <x v="3"/>
    <n v="887.77"/>
    <x v="3"/>
    <n v="5"/>
  </r>
  <r>
    <x v="1010"/>
    <x v="4"/>
    <m/>
    <s v="CO-45"/>
    <m/>
    <x v="6"/>
    <n v="2764.98"/>
    <x v="4"/>
    <n v="17"/>
  </r>
  <r>
    <x v="1011"/>
    <x v="4"/>
    <m/>
    <s v="CO-97"/>
    <m/>
    <x v="4"/>
    <n v="1873.33"/>
    <x v="3"/>
    <n v="16"/>
  </r>
  <r>
    <x v="1012"/>
    <x v="8"/>
    <m/>
    <s v="CO-45"/>
    <m/>
    <x v="6"/>
    <n v="3745.07"/>
    <x v="4"/>
    <n v="13"/>
  </r>
  <r>
    <x v="1013"/>
    <x v="4"/>
    <m/>
    <s v="CO-50"/>
    <m/>
    <x v="0"/>
    <n v="7841.03"/>
    <x v="4"/>
    <n v="31"/>
  </r>
  <r>
    <x v="1014"/>
    <x v="7"/>
    <m/>
    <s v="CO-4"/>
    <m/>
    <x v="2"/>
    <n v="14046.42"/>
    <x v="0"/>
    <n v="0"/>
  </r>
  <r>
    <x v="1015"/>
    <x v="1"/>
    <m/>
    <s v="CO-109"/>
    <m/>
    <x v="1"/>
    <n v="1876.02"/>
    <x v="1"/>
    <n v="20"/>
  </r>
  <r>
    <x v="1016"/>
    <x v="0"/>
    <m/>
    <s v="CO-18"/>
    <m/>
    <x v="4"/>
    <n v="13318.42"/>
    <x v="3"/>
    <n v="14"/>
  </r>
  <r>
    <x v="1017"/>
    <x v="5"/>
    <m/>
    <s v="CO-16"/>
    <m/>
    <x v="2"/>
    <n v="9511.99"/>
    <x v="1"/>
    <n v="11"/>
  </r>
  <r>
    <x v="1018"/>
    <x v="2"/>
    <m/>
    <s v="CO-96"/>
    <m/>
    <x v="5"/>
    <n v="1838.76"/>
    <x v="3"/>
    <n v="1"/>
  </r>
  <r>
    <x v="1019"/>
    <x v="6"/>
    <m/>
    <s v="CO-96"/>
    <m/>
    <x v="5"/>
    <n v="11762.95"/>
    <x v="1"/>
    <n v="39"/>
  </r>
  <r>
    <x v="1020"/>
    <x v="9"/>
    <m/>
    <s v="CO-18"/>
    <m/>
    <x v="4"/>
    <n v="11573.42"/>
    <x v="0"/>
    <n v="0"/>
  </r>
  <r>
    <x v="1021"/>
    <x v="2"/>
    <m/>
    <s v="CO-18"/>
    <m/>
    <x v="4"/>
    <n v="13966.19"/>
    <x v="4"/>
    <n v="41"/>
  </r>
  <r>
    <x v="1022"/>
    <x v="6"/>
    <m/>
    <s v="CO-97"/>
    <m/>
    <x v="4"/>
    <n v="5364.99"/>
    <x v="0"/>
    <n v="0"/>
  </r>
  <r>
    <x v="1023"/>
    <x v="3"/>
    <m/>
    <s v="CO-45"/>
    <m/>
    <x v="6"/>
    <n v="3528.49"/>
    <x v="4"/>
    <n v="51"/>
  </r>
  <r>
    <x v="1024"/>
    <x v="6"/>
    <m/>
    <s v="CO-45"/>
    <m/>
    <x v="6"/>
    <n v="11011.17"/>
    <x v="0"/>
    <n v="0"/>
  </r>
  <r>
    <x v="1025"/>
    <x v="7"/>
    <m/>
    <s v="CO-4"/>
    <m/>
    <x v="2"/>
    <n v="13485.01"/>
    <x v="1"/>
    <n v="29"/>
  </r>
  <r>
    <x v="1026"/>
    <x v="6"/>
    <m/>
    <s v="CO-4"/>
    <m/>
    <x v="2"/>
    <n v="8163.87"/>
    <x v="1"/>
    <n v="37"/>
  </r>
  <r>
    <x v="1027"/>
    <x v="9"/>
    <m/>
    <s v="CO-109"/>
    <m/>
    <x v="1"/>
    <n v="5247.59"/>
    <x v="3"/>
    <n v="18"/>
  </r>
  <r>
    <x v="1028"/>
    <x v="5"/>
    <m/>
    <s v="CO-109"/>
    <m/>
    <x v="1"/>
    <n v="2447.13"/>
    <x v="1"/>
    <n v="29"/>
  </r>
  <r>
    <x v="1029"/>
    <x v="7"/>
    <m/>
    <s v="CO-4"/>
    <m/>
    <x v="2"/>
    <n v="8147.01"/>
    <x v="1"/>
    <n v="50"/>
  </r>
  <r>
    <x v="1030"/>
    <x v="3"/>
    <m/>
    <s v="CO-29"/>
    <m/>
    <x v="7"/>
    <n v="11018.18"/>
    <x v="4"/>
    <n v="40"/>
  </r>
  <r>
    <x v="1031"/>
    <x v="7"/>
    <m/>
    <s v="CO-96"/>
    <m/>
    <x v="5"/>
    <n v="3619.86"/>
    <x v="3"/>
    <n v="43"/>
  </r>
  <r>
    <x v="1032"/>
    <x v="7"/>
    <m/>
    <s v="CO-29"/>
    <m/>
    <x v="7"/>
    <n v="2888.55"/>
    <x v="2"/>
    <n v="50"/>
  </r>
  <r>
    <x v="1033"/>
    <x v="3"/>
    <m/>
    <s v="CO-197"/>
    <m/>
    <x v="3"/>
    <n v="9214.94"/>
    <x v="1"/>
    <n v="42"/>
  </r>
  <r>
    <x v="1034"/>
    <x v="6"/>
    <m/>
    <s v="CO-50"/>
    <m/>
    <x v="0"/>
    <n v="1489.03"/>
    <x v="2"/>
    <n v="3"/>
  </r>
  <r>
    <x v="1035"/>
    <x v="0"/>
    <m/>
    <s v="CO-197"/>
    <m/>
    <x v="3"/>
    <n v="13108.72"/>
    <x v="0"/>
    <n v="0"/>
  </r>
  <r>
    <x v="1036"/>
    <x v="8"/>
    <m/>
    <s v="CO-97"/>
    <m/>
    <x v="4"/>
    <n v="8586.6299999999992"/>
    <x v="3"/>
    <n v="43"/>
  </r>
  <r>
    <x v="1037"/>
    <x v="3"/>
    <m/>
    <s v="CO-109"/>
    <m/>
    <x v="1"/>
    <n v="9378.36"/>
    <x v="2"/>
    <n v="4"/>
  </r>
  <r>
    <x v="1038"/>
    <x v="8"/>
    <m/>
    <s v="CO-16"/>
    <m/>
    <x v="2"/>
    <n v="9109.01"/>
    <x v="0"/>
    <n v="0"/>
  </r>
  <r>
    <x v="1039"/>
    <x v="7"/>
    <m/>
    <s v="CO-50"/>
    <m/>
    <x v="0"/>
    <n v="7047.48"/>
    <x v="2"/>
    <n v="24"/>
  </r>
  <r>
    <x v="1040"/>
    <x v="9"/>
    <m/>
    <s v="CO-29"/>
    <m/>
    <x v="7"/>
    <n v="12339.3"/>
    <x v="3"/>
    <n v="4"/>
  </r>
  <r>
    <x v="1041"/>
    <x v="5"/>
    <m/>
    <s v="CO-4"/>
    <m/>
    <x v="2"/>
    <n v="7958.86"/>
    <x v="3"/>
    <n v="54"/>
  </r>
  <r>
    <x v="1042"/>
    <x v="0"/>
    <m/>
    <s v="CO-50"/>
    <m/>
    <x v="0"/>
    <n v="14171.82"/>
    <x v="4"/>
    <n v="7"/>
  </r>
  <r>
    <x v="1043"/>
    <x v="9"/>
    <m/>
    <s v="CO-16"/>
    <m/>
    <x v="2"/>
    <n v="7998.33"/>
    <x v="0"/>
    <n v="0"/>
  </r>
  <r>
    <x v="1044"/>
    <x v="0"/>
    <m/>
    <s v="CO-197"/>
    <m/>
    <x v="3"/>
    <n v="8398.43"/>
    <x v="2"/>
    <n v="48"/>
  </r>
  <r>
    <x v="1045"/>
    <x v="4"/>
    <m/>
    <s v="CO-96"/>
    <m/>
    <x v="5"/>
    <n v="5401.55"/>
    <x v="1"/>
    <n v="43"/>
  </r>
  <r>
    <x v="1046"/>
    <x v="6"/>
    <m/>
    <s v="CO-50"/>
    <m/>
    <x v="0"/>
    <n v="2543.8000000000002"/>
    <x v="0"/>
    <n v="0"/>
  </r>
  <r>
    <x v="1047"/>
    <x v="3"/>
    <m/>
    <s v="CO-109"/>
    <m/>
    <x v="1"/>
    <n v="14976.58"/>
    <x v="1"/>
    <n v="23"/>
  </r>
  <r>
    <x v="1048"/>
    <x v="4"/>
    <m/>
    <s v="CO-109"/>
    <m/>
    <x v="1"/>
    <n v="14872.37"/>
    <x v="1"/>
    <n v="24"/>
  </r>
  <r>
    <x v="1049"/>
    <x v="9"/>
    <m/>
    <s v="CO-29"/>
    <m/>
    <x v="7"/>
    <n v="12401.02"/>
    <x v="1"/>
    <n v="16"/>
  </r>
  <r>
    <x v="1050"/>
    <x v="5"/>
    <m/>
    <s v="CO-109"/>
    <m/>
    <x v="1"/>
    <n v="3248.23"/>
    <x v="3"/>
    <n v="60"/>
  </r>
  <r>
    <x v="1051"/>
    <x v="2"/>
    <m/>
    <s v="CO-18"/>
    <m/>
    <x v="4"/>
    <n v="14426.69"/>
    <x v="1"/>
    <n v="26"/>
  </r>
  <r>
    <x v="1052"/>
    <x v="6"/>
    <m/>
    <s v="CO-97"/>
    <m/>
    <x v="4"/>
    <n v="14745.2"/>
    <x v="2"/>
    <n v="34"/>
  </r>
  <r>
    <x v="1053"/>
    <x v="3"/>
    <m/>
    <s v="CO-4"/>
    <m/>
    <x v="2"/>
    <n v="148.19999999999999"/>
    <x v="4"/>
    <n v="14"/>
  </r>
  <r>
    <x v="1054"/>
    <x v="5"/>
    <m/>
    <s v="CO-97"/>
    <m/>
    <x v="4"/>
    <n v="11584.27"/>
    <x v="4"/>
    <n v="53"/>
  </r>
  <r>
    <x v="1055"/>
    <x v="6"/>
    <m/>
    <s v="CO-109"/>
    <m/>
    <x v="1"/>
    <n v="7693.51"/>
    <x v="2"/>
    <n v="37"/>
  </r>
  <r>
    <x v="1056"/>
    <x v="5"/>
    <m/>
    <s v="CO-50"/>
    <m/>
    <x v="0"/>
    <n v="614.16"/>
    <x v="1"/>
    <n v="9"/>
  </r>
  <r>
    <x v="1057"/>
    <x v="0"/>
    <m/>
    <s v="CO-18"/>
    <m/>
    <x v="4"/>
    <n v="13349.9"/>
    <x v="0"/>
    <n v="0"/>
  </r>
  <r>
    <x v="1058"/>
    <x v="0"/>
    <m/>
    <s v="CO-96"/>
    <m/>
    <x v="5"/>
    <n v="6026.98"/>
    <x v="4"/>
    <n v="47"/>
  </r>
  <r>
    <x v="1059"/>
    <x v="9"/>
    <m/>
    <s v="CO-18"/>
    <m/>
    <x v="4"/>
    <n v="11903.92"/>
    <x v="0"/>
    <n v="0"/>
  </r>
  <r>
    <x v="1060"/>
    <x v="0"/>
    <m/>
    <s v="CO-4"/>
    <m/>
    <x v="2"/>
    <n v="608.71"/>
    <x v="3"/>
    <n v="25"/>
  </r>
  <r>
    <x v="1061"/>
    <x v="4"/>
    <m/>
    <s v="CO-97"/>
    <m/>
    <x v="4"/>
    <n v="13831.98"/>
    <x v="1"/>
    <n v="57"/>
  </r>
  <r>
    <x v="1062"/>
    <x v="9"/>
    <m/>
    <s v="CO-29"/>
    <m/>
    <x v="7"/>
    <n v="13957.18"/>
    <x v="0"/>
    <n v="0"/>
  </r>
  <r>
    <x v="1063"/>
    <x v="5"/>
    <m/>
    <s v="CO-97"/>
    <m/>
    <x v="4"/>
    <n v="9526.61"/>
    <x v="2"/>
    <n v="4"/>
  </r>
  <r>
    <x v="1064"/>
    <x v="3"/>
    <m/>
    <s v="CO-109"/>
    <m/>
    <x v="1"/>
    <n v="665.67"/>
    <x v="1"/>
    <n v="10"/>
  </r>
  <r>
    <x v="1065"/>
    <x v="8"/>
    <m/>
    <s v="CO-109"/>
    <m/>
    <x v="1"/>
    <n v="10481.64"/>
    <x v="0"/>
    <n v="11"/>
  </r>
  <r>
    <x v="1066"/>
    <x v="4"/>
    <m/>
    <s v="CO-96"/>
    <m/>
    <x v="5"/>
    <n v="8650.06"/>
    <x v="0"/>
    <n v="0"/>
  </r>
  <r>
    <x v="1067"/>
    <x v="7"/>
    <m/>
    <s v="CO-197"/>
    <m/>
    <x v="3"/>
    <n v="2026.23"/>
    <x v="0"/>
    <n v="0"/>
  </r>
  <r>
    <x v="1068"/>
    <x v="6"/>
    <m/>
    <s v="CO-29"/>
    <m/>
    <x v="7"/>
    <n v="3975.24"/>
    <x v="1"/>
    <n v="28"/>
  </r>
  <r>
    <x v="1069"/>
    <x v="7"/>
    <m/>
    <s v="CO-197"/>
    <m/>
    <x v="3"/>
    <n v="7239.79"/>
    <x v="0"/>
    <n v="0"/>
  </r>
  <r>
    <x v="1070"/>
    <x v="0"/>
    <m/>
    <s v="CO-96"/>
    <m/>
    <x v="5"/>
    <n v="14956.33"/>
    <x v="1"/>
    <n v="16"/>
  </r>
  <r>
    <x v="1071"/>
    <x v="9"/>
    <m/>
    <s v="CO-4"/>
    <m/>
    <x v="2"/>
    <n v="11662.74"/>
    <x v="1"/>
    <n v="60"/>
  </r>
  <r>
    <x v="1072"/>
    <x v="3"/>
    <m/>
    <s v="CO-50"/>
    <m/>
    <x v="0"/>
    <n v="1732.32"/>
    <x v="1"/>
    <n v="24"/>
  </r>
  <r>
    <x v="1073"/>
    <x v="5"/>
    <m/>
    <s v="CO-16"/>
    <m/>
    <x v="2"/>
    <n v="4845.04"/>
    <x v="2"/>
    <n v="2"/>
  </r>
  <r>
    <x v="1074"/>
    <x v="8"/>
    <m/>
    <s v="CO-197"/>
    <m/>
    <x v="3"/>
    <n v="14815.4"/>
    <x v="2"/>
    <n v="52"/>
  </r>
  <r>
    <x v="1075"/>
    <x v="1"/>
    <m/>
    <s v="CO-96"/>
    <m/>
    <x v="5"/>
    <n v="2229.9899999999998"/>
    <x v="0"/>
    <n v="0"/>
  </r>
  <r>
    <x v="1076"/>
    <x v="0"/>
    <m/>
    <s v="CO-18"/>
    <m/>
    <x v="4"/>
    <n v="2382.0700000000002"/>
    <x v="3"/>
    <n v="6"/>
  </r>
  <r>
    <x v="1077"/>
    <x v="5"/>
    <m/>
    <s v="CO-97"/>
    <m/>
    <x v="4"/>
    <n v="3683.57"/>
    <x v="2"/>
    <n v="10"/>
  </r>
  <r>
    <x v="1078"/>
    <x v="8"/>
    <m/>
    <s v="CO-97"/>
    <m/>
    <x v="4"/>
    <n v="5181.91"/>
    <x v="3"/>
    <n v="20"/>
  </r>
  <r>
    <x v="1079"/>
    <x v="1"/>
    <m/>
    <s v="CO-45"/>
    <m/>
    <x v="6"/>
    <n v="390.08"/>
    <x v="0"/>
    <n v="0"/>
  </r>
  <r>
    <x v="1080"/>
    <x v="2"/>
    <m/>
    <s v="CO-109"/>
    <m/>
    <x v="1"/>
    <n v="7872.82"/>
    <x v="0"/>
    <n v="0"/>
  </r>
  <r>
    <x v="1081"/>
    <x v="5"/>
    <m/>
    <s v="CO-29"/>
    <m/>
    <x v="7"/>
    <n v="8765.92"/>
    <x v="2"/>
    <n v="3"/>
  </r>
  <r>
    <x v="1082"/>
    <x v="2"/>
    <m/>
    <s v="CO-197"/>
    <m/>
    <x v="3"/>
    <n v="948.65"/>
    <x v="0"/>
    <n v="0"/>
  </r>
  <r>
    <x v="1083"/>
    <x v="3"/>
    <m/>
    <s v="CO-45"/>
    <m/>
    <x v="6"/>
    <n v="9838.6299999999992"/>
    <x v="0"/>
    <n v="0"/>
  </r>
  <r>
    <x v="1084"/>
    <x v="4"/>
    <m/>
    <s v="CO-50"/>
    <m/>
    <x v="0"/>
    <n v="335.22"/>
    <x v="3"/>
    <n v="42"/>
  </r>
  <r>
    <x v="1085"/>
    <x v="0"/>
    <m/>
    <s v="CO-16"/>
    <m/>
    <x v="2"/>
    <n v="14697.9"/>
    <x v="1"/>
    <n v="46"/>
  </r>
  <r>
    <x v="1086"/>
    <x v="6"/>
    <m/>
    <s v="CO-18"/>
    <m/>
    <x v="4"/>
    <n v="7295.7"/>
    <x v="2"/>
    <n v="6"/>
  </r>
  <r>
    <x v="1087"/>
    <x v="2"/>
    <m/>
    <s v="CO-16"/>
    <m/>
    <x v="2"/>
    <n v="7534.73"/>
    <x v="1"/>
    <n v="60"/>
  </r>
  <r>
    <x v="1088"/>
    <x v="8"/>
    <m/>
    <s v="CO-97"/>
    <m/>
    <x v="4"/>
    <n v="3748.51"/>
    <x v="1"/>
    <n v="22"/>
  </r>
  <r>
    <x v="1089"/>
    <x v="3"/>
    <m/>
    <s v="CO-29"/>
    <m/>
    <x v="7"/>
    <n v="11178.64"/>
    <x v="0"/>
    <n v="0"/>
  </r>
  <r>
    <x v="1090"/>
    <x v="5"/>
    <m/>
    <s v="CO-4"/>
    <m/>
    <x v="2"/>
    <n v="3581.26"/>
    <x v="4"/>
    <n v="33"/>
  </r>
  <r>
    <x v="1091"/>
    <x v="2"/>
    <m/>
    <s v="CO-97"/>
    <m/>
    <x v="4"/>
    <n v="9405.6"/>
    <x v="3"/>
    <n v="57"/>
  </r>
  <r>
    <x v="1092"/>
    <x v="6"/>
    <m/>
    <s v="CO-109"/>
    <m/>
    <x v="1"/>
    <n v="14239.29"/>
    <x v="0"/>
    <n v="6"/>
  </r>
  <r>
    <x v="1093"/>
    <x v="9"/>
    <m/>
    <s v="CO-50"/>
    <m/>
    <x v="0"/>
    <n v="10961.85"/>
    <x v="1"/>
    <n v="44"/>
  </r>
  <r>
    <x v="1094"/>
    <x v="5"/>
    <m/>
    <s v="CO-16"/>
    <m/>
    <x v="2"/>
    <n v="6289.13"/>
    <x v="2"/>
    <n v="28"/>
  </r>
  <r>
    <x v="1095"/>
    <x v="6"/>
    <m/>
    <s v="CO-96"/>
    <m/>
    <x v="5"/>
    <n v="4972.8100000000004"/>
    <x v="1"/>
    <n v="14"/>
  </r>
  <r>
    <x v="1096"/>
    <x v="6"/>
    <m/>
    <s v="CO-96"/>
    <m/>
    <x v="5"/>
    <n v="8143.24"/>
    <x v="3"/>
    <n v="56"/>
  </r>
  <r>
    <x v="1097"/>
    <x v="6"/>
    <m/>
    <s v="CO-4"/>
    <m/>
    <x v="2"/>
    <n v="10343.549999999999"/>
    <x v="4"/>
    <n v="59"/>
  </r>
  <r>
    <x v="1098"/>
    <x v="9"/>
    <m/>
    <s v="CO-29"/>
    <m/>
    <x v="7"/>
    <n v="14935.5"/>
    <x v="4"/>
    <n v="10"/>
  </r>
  <r>
    <x v="1099"/>
    <x v="0"/>
    <m/>
    <s v="CO-197"/>
    <m/>
    <x v="3"/>
    <n v="4796.57"/>
    <x v="2"/>
    <n v="47"/>
  </r>
  <r>
    <x v="1100"/>
    <x v="2"/>
    <m/>
    <s v="CO-197"/>
    <m/>
    <x v="3"/>
    <n v="4798.08"/>
    <x v="3"/>
    <n v="47"/>
  </r>
  <r>
    <x v="1101"/>
    <x v="5"/>
    <m/>
    <s v="CO-18"/>
    <m/>
    <x v="4"/>
    <n v="13207.97"/>
    <x v="1"/>
    <n v="27"/>
  </r>
  <r>
    <x v="1102"/>
    <x v="5"/>
    <m/>
    <s v="CO-45"/>
    <m/>
    <x v="6"/>
    <n v="11196.87"/>
    <x v="3"/>
    <n v="41"/>
  </r>
  <r>
    <x v="1103"/>
    <x v="9"/>
    <m/>
    <s v="CO-197"/>
    <m/>
    <x v="3"/>
    <n v="11697.66"/>
    <x v="0"/>
    <n v="0"/>
  </r>
  <r>
    <x v="1104"/>
    <x v="9"/>
    <m/>
    <s v="CO-96"/>
    <m/>
    <x v="5"/>
    <n v="4039.6"/>
    <x v="2"/>
    <n v="15"/>
  </r>
  <r>
    <x v="1105"/>
    <x v="6"/>
    <m/>
    <s v="CO-16"/>
    <m/>
    <x v="2"/>
    <n v="3502.14"/>
    <x v="0"/>
    <n v="2"/>
  </r>
  <r>
    <x v="1106"/>
    <x v="3"/>
    <m/>
    <s v="CO-109"/>
    <m/>
    <x v="1"/>
    <n v="12699.77"/>
    <x v="1"/>
    <n v="42"/>
  </r>
  <r>
    <x v="1107"/>
    <x v="6"/>
    <m/>
    <s v="CO-197"/>
    <m/>
    <x v="3"/>
    <n v="12789.34"/>
    <x v="1"/>
    <n v="9"/>
  </r>
  <r>
    <x v="1108"/>
    <x v="5"/>
    <m/>
    <s v="CO-16"/>
    <m/>
    <x v="2"/>
    <n v="3432.78"/>
    <x v="1"/>
    <n v="1"/>
  </r>
  <r>
    <x v="1109"/>
    <x v="1"/>
    <m/>
    <s v="CO-29"/>
    <m/>
    <x v="7"/>
    <n v="3377.19"/>
    <x v="2"/>
    <n v="13"/>
  </r>
  <r>
    <x v="1110"/>
    <x v="9"/>
    <m/>
    <s v="CO-50"/>
    <m/>
    <x v="0"/>
    <n v="2697.32"/>
    <x v="4"/>
    <n v="29"/>
  </r>
  <r>
    <x v="1111"/>
    <x v="1"/>
    <m/>
    <s v="CO-45"/>
    <m/>
    <x v="6"/>
    <n v="10333.549999999999"/>
    <x v="3"/>
    <n v="57"/>
  </r>
  <r>
    <x v="1112"/>
    <x v="3"/>
    <m/>
    <s v="CO-29"/>
    <m/>
    <x v="7"/>
    <n v="6102.76"/>
    <x v="0"/>
    <n v="12"/>
  </r>
  <r>
    <x v="1113"/>
    <x v="7"/>
    <m/>
    <s v="CO-29"/>
    <m/>
    <x v="7"/>
    <n v="9192"/>
    <x v="3"/>
    <n v="39"/>
  </r>
  <r>
    <x v="1114"/>
    <x v="7"/>
    <m/>
    <s v="CO-109"/>
    <m/>
    <x v="1"/>
    <n v="9638.84"/>
    <x v="2"/>
    <n v="3"/>
  </r>
  <r>
    <x v="1115"/>
    <x v="1"/>
    <m/>
    <s v="CO-50"/>
    <m/>
    <x v="0"/>
    <n v="6801.56"/>
    <x v="3"/>
    <n v="3"/>
  </r>
  <r>
    <x v="1116"/>
    <x v="7"/>
    <m/>
    <s v="CO-109"/>
    <m/>
    <x v="1"/>
    <n v="8091.14"/>
    <x v="4"/>
    <n v="3"/>
  </r>
  <r>
    <x v="1117"/>
    <x v="1"/>
    <m/>
    <s v="CO-29"/>
    <m/>
    <x v="7"/>
    <n v="7766.09"/>
    <x v="2"/>
    <n v="4"/>
  </r>
  <r>
    <x v="1118"/>
    <x v="5"/>
    <m/>
    <s v="CO-4"/>
    <m/>
    <x v="2"/>
    <n v="6621.33"/>
    <x v="4"/>
    <n v="50"/>
  </r>
  <r>
    <x v="1119"/>
    <x v="2"/>
    <m/>
    <s v="CO-45"/>
    <m/>
    <x v="6"/>
    <n v="2538.9699999999998"/>
    <x v="1"/>
    <n v="59"/>
  </r>
  <r>
    <x v="1120"/>
    <x v="8"/>
    <m/>
    <s v="CO-109"/>
    <m/>
    <x v="1"/>
    <n v="13559.95"/>
    <x v="1"/>
    <n v="42"/>
  </r>
  <r>
    <x v="1121"/>
    <x v="4"/>
    <m/>
    <s v="CO-50"/>
    <m/>
    <x v="0"/>
    <n v="10853.57"/>
    <x v="0"/>
    <n v="0"/>
  </r>
  <r>
    <x v="1122"/>
    <x v="8"/>
    <m/>
    <s v="CO-29"/>
    <m/>
    <x v="7"/>
    <n v="4885.74"/>
    <x v="0"/>
    <n v="0"/>
  </r>
  <r>
    <x v="1123"/>
    <x v="6"/>
    <m/>
    <s v="CO-50"/>
    <m/>
    <x v="0"/>
    <n v="3788.73"/>
    <x v="2"/>
    <n v="59"/>
  </r>
  <r>
    <x v="1124"/>
    <x v="3"/>
    <m/>
    <s v="CO-50"/>
    <m/>
    <x v="0"/>
    <n v="1413.31"/>
    <x v="2"/>
    <n v="41"/>
  </r>
  <r>
    <x v="1125"/>
    <x v="7"/>
    <m/>
    <s v="CO-50"/>
    <m/>
    <x v="0"/>
    <n v="7881.07"/>
    <x v="1"/>
    <n v="51"/>
  </r>
  <r>
    <x v="1126"/>
    <x v="2"/>
    <m/>
    <s v="CO-96"/>
    <m/>
    <x v="5"/>
    <n v="14248.82"/>
    <x v="1"/>
    <n v="25"/>
  </r>
  <r>
    <x v="1127"/>
    <x v="6"/>
    <m/>
    <s v="CO-197"/>
    <m/>
    <x v="3"/>
    <n v="13688.18"/>
    <x v="2"/>
    <n v="43"/>
  </r>
  <r>
    <x v="1128"/>
    <x v="4"/>
    <m/>
    <s v="CO-197"/>
    <m/>
    <x v="3"/>
    <n v="13038.84"/>
    <x v="0"/>
    <n v="0"/>
  </r>
  <r>
    <x v="1129"/>
    <x v="5"/>
    <m/>
    <s v="CO-4"/>
    <m/>
    <x v="2"/>
    <n v="4677.3"/>
    <x v="3"/>
    <n v="29"/>
  </r>
  <r>
    <x v="1130"/>
    <x v="9"/>
    <m/>
    <s v="CO-197"/>
    <m/>
    <x v="3"/>
    <n v="1807.43"/>
    <x v="0"/>
    <n v="0"/>
  </r>
  <r>
    <x v="1131"/>
    <x v="7"/>
    <m/>
    <s v="CO-4"/>
    <m/>
    <x v="2"/>
    <n v="232.51"/>
    <x v="1"/>
    <n v="32"/>
  </r>
  <r>
    <x v="1132"/>
    <x v="9"/>
    <m/>
    <s v="CO-97"/>
    <m/>
    <x v="4"/>
    <n v="9139.36"/>
    <x v="1"/>
    <n v="14"/>
  </r>
  <r>
    <x v="1133"/>
    <x v="9"/>
    <m/>
    <s v="CO-45"/>
    <m/>
    <x v="6"/>
    <n v="6833.39"/>
    <x v="1"/>
    <n v="39"/>
  </r>
  <r>
    <x v="1134"/>
    <x v="7"/>
    <m/>
    <s v="CO-97"/>
    <m/>
    <x v="4"/>
    <n v="3708.46"/>
    <x v="1"/>
    <n v="40"/>
  </r>
  <r>
    <x v="1135"/>
    <x v="2"/>
    <m/>
    <s v="CO-16"/>
    <m/>
    <x v="2"/>
    <n v="781.34"/>
    <x v="0"/>
    <n v="0"/>
  </r>
  <r>
    <x v="1136"/>
    <x v="9"/>
    <m/>
    <s v="CO-197"/>
    <m/>
    <x v="3"/>
    <n v="12814.75"/>
    <x v="2"/>
    <n v="54"/>
  </r>
  <r>
    <x v="1137"/>
    <x v="6"/>
    <m/>
    <s v="CO-4"/>
    <m/>
    <x v="2"/>
    <n v="5000.1099999999997"/>
    <x v="0"/>
    <n v="2"/>
  </r>
  <r>
    <x v="1138"/>
    <x v="9"/>
    <m/>
    <s v="CO-197"/>
    <m/>
    <x v="3"/>
    <n v="10097.75"/>
    <x v="2"/>
    <n v="45"/>
  </r>
  <r>
    <x v="1139"/>
    <x v="2"/>
    <m/>
    <s v="CO-96"/>
    <m/>
    <x v="5"/>
    <n v="11820.25"/>
    <x v="0"/>
    <n v="0"/>
  </r>
  <r>
    <x v="1140"/>
    <x v="4"/>
    <m/>
    <s v="CO-50"/>
    <m/>
    <x v="0"/>
    <n v="11539.25"/>
    <x v="1"/>
    <n v="58"/>
  </r>
  <r>
    <x v="1141"/>
    <x v="5"/>
    <m/>
    <s v="CO-50"/>
    <m/>
    <x v="0"/>
    <n v="11388.71"/>
    <x v="3"/>
    <n v="5"/>
  </r>
  <r>
    <x v="1142"/>
    <x v="3"/>
    <m/>
    <s v="CO-45"/>
    <m/>
    <x v="6"/>
    <n v="2061.46"/>
    <x v="2"/>
    <n v="18"/>
  </r>
  <r>
    <x v="1143"/>
    <x v="0"/>
    <m/>
    <s v="CO-109"/>
    <m/>
    <x v="1"/>
    <n v="6235.68"/>
    <x v="0"/>
    <n v="0"/>
  </r>
  <r>
    <x v="1144"/>
    <x v="8"/>
    <m/>
    <s v="CO-96"/>
    <m/>
    <x v="5"/>
    <n v="10959.44"/>
    <x v="2"/>
    <n v="6"/>
  </r>
  <r>
    <x v="1145"/>
    <x v="4"/>
    <m/>
    <s v="CO-96"/>
    <m/>
    <x v="5"/>
    <n v="14011.68"/>
    <x v="4"/>
    <n v="19"/>
  </r>
  <r>
    <x v="1146"/>
    <x v="6"/>
    <m/>
    <s v="CO-96"/>
    <m/>
    <x v="5"/>
    <n v="12724.58"/>
    <x v="0"/>
    <n v="0"/>
  </r>
  <r>
    <x v="1147"/>
    <x v="8"/>
    <m/>
    <s v="CO-96"/>
    <m/>
    <x v="5"/>
    <n v="8461.3799999999992"/>
    <x v="1"/>
    <n v="41"/>
  </r>
  <r>
    <x v="1148"/>
    <x v="5"/>
    <m/>
    <s v="CO-45"/>
    <m/>
    <x v="6"/>
    <n v="12129.31"/>
    <x v="4"/>
    <n v="15"/>
  </r>
  <r>
    <x v="1149"/>
    <x v="1"/>
    <m/>
    <s v="CO-16"/>
    <m/>
    <x v="2"/>
    <n v="73.63"/>
    <x v="0"/>
    <n v="0"/>
  </r>
  <r>
    <x v="1150"/>
    <x v="3"/>
    <m/>
    <s v="CO-96"/>
    <m/>
    <x v="5"/>
    <n v="14984.86"/>
    <x v="1"/>
    <n v="22"/>
  </r>
  <r>
    <x v="1151"/>
    <x v="5"/>
    <m/>
    <s v="CO-109"/>
    <m/>
    <x v="1"/>
    <n v="12100.35"/>
    <x v="0"/>
    <n v="0"/>
  </r>
  <r>
    <x v="1152"/>
    <x v="7"/>
    <m/>
    <s v="CO-4"/>
    <m/>
    <x v="2"/>
    <n v="11863.42"/>
    <x v="1"/>
    <n v="33"/>
  </r>
  <r>
    <x v="1153"/>
    <x v="4"/>
    <m/>
    <s v="CO-18"/>
    <m/>
    <x v="4"/>
    <n v="11517.14"/>
    <x v="0"/>
    <n v="0"/>
  </r>
  <r>
    <x v="1154"/>
    <x v="3"/>
    <m/>
    <s v="CO-96"/>
    <m/>
    <x v="5"/>
    <n v="9259.1"/>
    <x v="0"/>
    <n v="0"/>
  </r>
  <r>
    <x v="1155"/>
    <x v="2"/>
    <m/>
    <s v="CO-18"/>
    <m/>
    <x v="4"/>
    <n v="13838.08"/>
    <x v="1"/>
    <n v="31"/>
  </r>
  <r>
    <x v="1156"/>
    <x v="7"/>
    <m/>
    <s v="CO-197"/>
    <m/>
    <x v="3"/>
    <n v="7248.36"/>
    <x v="2"/>
    <n v="58"/>
  </r>
  <r>
    <x v="1157"/>
    <x v="2"/>
    <m/>
    <s v="CO-18"/>
    <m/>
    <x v="4"/>
    <n v="6963.93"/>
    <x v="3"/>
    <n v="60"/>
  </r>
  <r>
    <x v="1158"/>
    <x v="7"/>
    <m/>
    <s v="CO-109"/>
    <m/>
    <x v="1"/>
    <n v="4525.1899999999996"/>
    <x v="3"/>
    <n v="21"/>
  </r>
  <r>
    <x v="1159"/>
    <x v="3"/>
    <m/>
    <s v="CO-109"/>
    <m/>
    <x v="1"/>
    <n v="329.84"/>
    <x v="2"/>
    <n v="22"/>
  </r>
  <r>
    <x v="1160"/>
    <x v="3"/>
    <m/>
    <s v="CO-50"/>
    <m/>
    <x v="0"/>
    <n v="14545.72"/>
    <x v="1"/>
    <n v="2"/>
  </r>
  <r>
    <x v="1161"/>
    <x v="9"/>
    <m/>
    <s v="CO-29"/>
    <m/>
    <x v="7"/>
    <n v="9416.34"/>
    <x v="3"/>
    <n v="37"/>
  </r>
  <r>
    <x v="1162"/>
    <x v="3"/>
    <m/>
    <s v="CO-29"/>
    <m/>
    <x v="7"/>
    <n v="2851.31"/>
    <x v="0"/>
    <n v="0"/>
  </r>
  <r>
    <x v="1163"/>
    <x v="3"/>
    <m/>
    <s v="CO-97"/>
    <m/>
    <x v="4"/>
    <n v="4108.8900000000003"/>
    <x v="0"/>
    <n v="0"/>
  </r>
  <r>
    <x v="1164"/>
    <x v="5"/>
    <m/>
    <s v="CO-45"/>
    <m/>
    <x v="6"/>
    <n v="12450.39"/>
    <x v="1"/>
    <n v="34"/>
  </r>
  <r>
    <x v="1165"/>
    <x v="1"/>
    <m/>
    <s v="CO-197"/>
    <m/>
    <x v="3"/>
    <n v="1727.86"/>
    <x v="3"/>
    <n v="50"/>
  </r>
  <r>
    <x v="1166"/>
    <x v="1"/>
    <m/>
    <s v="CO-50"/>
    <m/>
    <x v="0"/>
    <n v="6684.42"/>
    <x v="0"/>
    <n v="0"/>
  </r>
  <r>
    <x v="1167"/>
    <x v="5"/>
    <m/>
    <s v="CO-18"/>
    <m/>
    <x v="4"/>
    <n v="13858.37"/>
    <x v="3"/>
    <n v="34"/>
  </r>
  <r>
    <x v="1168"/>
    <x v="7"/>
    <m/>
    <s v="CO-18"/>
    <m/>
    <x v="4"/>
    <n v="2192.2600000000002"/>
    <x v="3"/>
    <n v="53"/>
  </r>
  <r>
    <x v="1169"/>
    <x v="2"/>
    <m/>
    <s v="CO-197"/>
    <m/>
    <x v="3"/>
    <n v="3117.55"/>
    <x v="0"/>
    <n v="0"/>
  </r>
  <r>
    <x v="1170"/>
    <x v="0"/>
    <m/>
    <s v="CO-4"/>
    <m/>
    <x v="2"/>
    <n v="13988.44"/>
    <x v="2"/>
    <n v="39"/>
  </r>
  <r>
    <x v="1171"/>
    <x v="2"/>
    <m/>
    <s v="CO-18"/>
    <m/>
    <x v="4"/>
    <n v="7029.79"/>
    <x v="0"/>
    <n v="0"/>
  </r>
  <r>
    <x v="1172"/>
    <x v="3"/>
    <m/>
    <s v="CO-96"/>
    <m/>
    <x v="5"/>
    <n v="11389.48"/>
    <x v="2"/>
    <n v="14"/>
  </r>
  <r>
    <x v="1173"/>
    <x v="0"/>
    <m/>
    <s v="CO-16"/>
    <m/>
    <x v="2"/>
    <n v="2928.56"/>
    <x v="0"/>
    <n v="6"/>
  </r>
  <r>
    <x v="1174"/>
    <x v="1"/>
    <m/>
    <s v="CO-4"/>
    <m/>
    <x v="2"/>
    <n v="2282.34"/>
    <x v="0"/>
    <n v="0"/>
  </r>
  <r>
    <x v="1175"/>
    <x v="5"/>
    <m/>
    <s v="CO-109"/>
    <m/>
    <x v="1"/>
    <n v="5287.26"/>
    <x v="1"/>
    <n v="10"/>
  </r>
  <r>
    <x v="1176"/>
    <x v="7"/>
    <m/>
    <s v="CO-96"/>
    <m/>
    <x v="5"/>
    <n v="3710.13"/>
    <x v="0"/>
    <n v="0"/>
  </r>
  <r>
    <x v="1177"/>
    <x v="0"/>
    <m/>
    <s v="CO-45"/>
    <m/>
    <x v="6"/>
    <n v="808.36"/>
    <x v="0"/>
    <n v="0"/>
  </r>
  <r>
    <x v="1178"/>
    <x v="9"/>
    <m/>
    <s v="CO-29"/>
    <m/>
    <x v="7"/>
    <n v="854.31"/>
    <x v="1"/>
    <n v="12"/>
  </r>
  <r>
    <x v="1179"/>
    <x v="9"/>
    <m/>
    <s v="CO-96"/>
    <m/>
    <x v="5"/>
    <n v="9460.59"/>
    <x v="2"/>
    <n v="29"/>
  </r>
  <r>
    <x v="1180"/>
    <x v="7"/>
    <m/>
    <s v="CO-18"/>
    <m/>
    <x v="4"/>
    <n v="4720.99"/>
    <x v="3"/>
    <n v="46"/>
  </r>
  <r>
    <x v="1181"/>
    <x v="9"/>
    <m/>
    <s v="CO-50"/>
    <m/>
    <x v="0"/>
    <n v="14606.54"/>
    <x v="3"/>
    <n v="30"/>
  </r>
  <r>
    <x v="1182"/>
    <x v="8"/>
    <m/>
    <s v="CO-197"/>
    <m/>
    <x v="3"/>
    <n v="1439.1"/>
    <x v="3"/>
    <n v="45"/>
  </r>
  <r>
    <x v="1183"/>
    <x v="8"/>
    <m/>
    <s v="CO-50"/>
    <m/>
    <x v="0"/>
    <n v="6860.98"/>
    <x v="2"/>
    <n v="46"/>
  </r>
  <r>
    <x v="1184"/>
    <x v="3"/>
    <m/>
    <s v="CO-45"/>
    <m/>
    <x v="6"/>
    <n v="3513.83"/>
    <x v="0"/>
    <n v="0"/>
  </r>
  <r>
    <x v="1185"/>
    <x v="3"/>
    <m/>
    <s v="CO-29"/>
    <m/>
    <x v="7"/>
    <n v="2791.13"/>
    <x v="4"/>
    <n v="22"/>
  </r>
  <r>
    <x v="1186"/>
    <x v="8"/>
    <m/>
    <s v="CO-45"/>
    <m/>
    <x v="6"/>
    <n v="7338.23"/>
    <x v="0"/>
    <n v="0"/>
  </r>
  <r>
    <x v="1187"/>
    <x v="9"/>
    <m/>
    <s v="CO-45"/>
    <m/>
    <x v="6"/>
    <n v="12694.21"/>
    <x v="1"/>
    <n v="23"/>
  </r>
  <r>
    <x v="1188"/>
    <x v="3"/>
    <m/>
    <s v="CO-96"/>
    <m/>
    <x v="5"/>
    <n v="1954.54"/>
    <x v="0"/>
    <n v="0"/>
  </r>
  <r>
    <x v="1189"/>
    <x v="8"/>
    <m/>
    <s v="CO-109"/>
    <m/>
    <x v="1"/>
    <n v="9759.2999999999993"/>
    <x v="3"/>
    <n v="35"/>
  </r>
  <r>
    <x v="1190"/>
    <x v="8"/>
    <m/>
    <s v="CO-29"/>
    <m/>
    <x v="7"/>
    <n v="8878.51"/>
    <x v="0"/>
    <n v="0"/>
  </r>
  <r>
    <x v="1191"/>
    <x v="4"/>
    <m/>
    <s v="CO-29"/>
    <m/>
    <x v="7"/>
    <n v="1037.5999999999999"/>
    <x v="0"/>
    <n v="12"/>
  </r>
  <r>
    <x v="1192"/>
    <x v="6"/>
    <m/>
    <s v="CO-96"/>
    <m/>
    <x v="5"/>
    <n v="11820.54"/>
    <x v="1"/>
    <n v="16"/>
  </r>
  <r>
    <x v="1193"/>
    <x v="8"/>
    <m/>
    <s v="CO-50"/>
    <m/>
    <x v="0"/>
    <n v="11103.54"/>
    <x v="2"/>
    <n v="54"/>
  </r>
  <r>
    <x v="1194"/>
    <x v="0"/>
    <m/>
    <s v="CO-50"/>
    <m/>
    <x v="0"/>
    <n v="8902.84"/>
    <x v="1"/>
    <n v="36"/>
  </r>
  <r>
    <x v="1195"/>
    <x v="9"/>
    <m/>
    <s v="CO-45"/>
    <m/>
    <x v="6"/>
    <n v="2683.8"/>
    <x v="4"/>
    <n v="5"/>
  </r>
  <r>
    <x v="1196"/>
    <x v="4"/>
    <m/>
    <s v="CO-50"/>
    <m/>
    <x v="0"/>
    <n v="10298.35"/>
    <x v="2"/>
    <n v="53"/>
  </r>
  <r>
    <x v="1197"/>
    <x v="1"/>
    <m/>
    <s v="CO-18"/>
    <m/>
    <x v="4"/>
    <n v="7439.71"/>
    <x v="2"/>
    <n v="6"/>
  </r>
  <r>
    <x v="1198"/>
    <x v="2"/>
    <m/>
    <s v="CO-197"/>
    <m/>
    <x v="3"/>
    <n v="13314.56"/>
    <x v="4"/>
    <n v="41"/>
  </r>
  <r>
    <x v="1199"/>
    <x v="4"/>
    <m/>
    <s v="CO-197"/>
    <m/>
    <x v="3"/>
    <n v="9930.18"/>
    <x v="1"/>
    <n v="19"/>
  </r>
  <r>
    <x v="1200"/>
    <x v="5"/>
    <m/>
    <s v="CO-96"/>
    <m/>
    <x v="5"/>
    <n v="8690.07"/>
    <x v="0"/>
    <n v="0"/>
  </r>
  <r>
    <x v="1201"/>
    <x v="4"/>
    <m/>
    <s v="CO-96"/>
    <m/>
    <x v="5"/>
    <n v="11925.48"/>
    <x v="2"/>
    <n v="59"/>
  </r>
  <r>
    <x v="1202"/>
    <x v="7"/>
    <m/>
    <s v="CO-18"/>
    <m/>
    <x v="4"/>
    <n v="14854.82"/>
    <x v="2"/>
    <n v="40"/>
  </r>
  <r>
    <x v="1203"/>
    <x v="3"/>
    <m/>
    <s v="CO-29"/>
    <m/>
    <x v="7"/>
    <n v="12722.17"/>
    <x v="3"/>
    <n v="4"/>
  </r>
  <r>
    <x v="1204"/>
    <x v="0"/>
    <m/>
    <s v="CO-109"/>
    <m/>
    <x v="1"/>
    <n v="14520.1"/>
    <x v="0"/>
    <n v="0"/>
  </r>
  <r>
    <x v="1205"/>
    <x v="3"/>
    <m/>
    <s v="CO-4"/>
    <m/>
    <x v="2"/>
    <n v="12991.91"/>
    <x v="0"/>
    <n v="12"/>
  </r>
  <r>
    <x v="1206"/>
    <x v="6"/>
    <m/>
    <s v="CO-29"/>
    <m/>
    <x v="7"/>
    <n v="6120.19"/>
    <x v="1"/>
    <n v="14"/>
  </r>
  <r>
    <x v="1207"/>
    <x v="3"/>
    <m/>
    <s v="CO-45"/>
    <m/>
    <x v="6"/>
    <n v="2129.08"/>
    <x v="2"/>
    <n v="54"/>
  </r>
  <r>
    <x v="1208"/>
    <x v="6"/>
    <m/>
    <s v="CO-29"/>
    <m/>
    <x v="7"/>
    <n v="2356.3000000000002"/>
    <x v="4"/>
    <n v="43"/>
  </r>
  <r>
    <x v="1209"/>
    <x v="8"/>
    <m/>
    <s v="CO-197"/>
    <m/>
    <x v="3"/>
    <n v="223.46"/>
    <x v="2"/>
    <n v="10"/>
  </r>
  <r>
    <x v="1210"/>
    <x v="8"/>
    <m/>
    <s v="CO-29"/>
    <m/>
    <x v="7"/>
    <n v="14625.88"/>
    <x v="0"/>
    <n v="3"/>
  </r>
  <r>
    <x v="1211"/>
    <x v="7"/>
    <m/>
    <s v="CO-96"/>
    <m/>
    <x v="5"/>
    <n v="13958.15"/>
    <x v="2"/>
    <n v="30"/>
  </r>
  <r>
    <x v="1212"/>
    <x v="1"/>
    <m/>
    <s v="CO-29"/>
    <m/>
    <x v="7"/>
    <n v="8303.15"/>
    <x v="1"/>
    <n v="23"/>
  </r>
  <r>
    <x v="1213"/>
    <x v="7"/>
    <m/>
    <s v="CO-197"/>
    <m/>
    <x v="3"/>
    <n v="6400.34"/>
    <x v="0"/>
    <n v="0"/>
  </r>
  <r>
    <x v="1214"/>
    <x v="2"/>
    <m/>
    <s v="CO-4"/>
    <m/>
    <x v="2"/>
    <n v="6192.03"/>
    <x v="1"/>
    <n v="24"/>
  </r>
  <r>
    <x v="1215"/>
    <x v="9"/>
    <m/>
    <s v="CO-97"/>
    <m/>
    <x v="4"/>
    <n v="8543.84"/>
    <x v="2"/>
    <n v="8"/>
  </r>
  <r>
    <x v="1216"/>
    <x v="8"/>
    <m/>
    <s v="CO-45"/>
    <m/>
    <x v="6"/>
    <n v="14427.98"/>
    <x v="0"/>
    <n v="0"/>
  </r>
  <r>
    <x v="1217"/>
    <x v="1"/>
    <m/>
    <s v="CO-109"/>
    <m/>
    <x v="1"/>
    <n v="1219.6099999999999"/>
    <x v="4"/>
    <n v="6"/>
  </r>
  <r>
    <x v="1218"/>
    <x v="0"/>
    <m/>
    <s v="CO-45"/>
    <m/>
    <x v="6"/>
    <n v="9478.41"/>
    <x v="2"/>
    <n v="43"/>
  </r>
  <r>
    <x v="1219"/>
    <x v="3"/>
    <m/>
    <s v="CO-109"/>
    <m/>
    <x v="1"/>
    <n v="11981.57"/>
    <x v="1"/>
    <n v="4"/>
  </r>
  <r>
    <x v="1220"/>
    <x v="8"/>
    <m/>
    <s v="CO-109"/>
    <m/>
    <x v="1"/>
    <n v="11688.98"/>
    <x v="1"/>
    <n v="33"/>
  </r>
  <r>
    <x v="1221"/>
    <x v="5"/>
    <m/>
    <s v="CO-96"/>
    <m/>
    <x v="5"/>
    <n v="11020.53"/>
    <x v="1"/>
    <n v="52"/>
  </r>
  <r>
    <x v="1222"/>
    <x v="5"/>
    <m/>
    <s v="CO-4"/>
    <m/>
    <x v="2"/>
    <n v="2554.25"/>
    <x v="2"/>
    <n v="39"/>
  </r>
  <r>
    <x v="1223"/>
    <x v="6"/>
    <m/>
    <s v="CO-96"/>
    <m/>
    <x v="5"/>
    <n v="3943.62"/>
    <x v="2"/>
    <n v="38"/>
  </r>
  <r>
    <x v="1224"/>
    <x v="9"/>
    <m/>
    <s v="CO-96"/>
    <m/>
    <x v="5"/>
    <n v="821.72"/>
    <x v="4"/>
    <n v="52"/>
  </r>
  <r>
    <x v="1225"/>
    <x v="5"/>
    <m/>
    <s v="CO-97"/>
    <m/>
    <x v="4"/>
    <n v="4337.8900000000003"/>
    <x v="0"/>
    <n v="0"/>
  </r>
  <r>
    <x v="1226"/>
    <x v="5"/>
    <m/>
    <s v="CO-4"/>
    <m/>
    <x v="2"/>
    <n v="2031.45"/>
    <x v="1"/>
    <n v="55"/>
  </r>
  <r>
    <x v="1227"/>
    <x v="9"/>
    <m/>
    <s v="CO-97"/>
    <m/>
    <x v="4"/>
    <n v="11134.37"/>
    <x v="2"/>
    <n v="59"/>
  </r>
  <r>
    <x v="1228"/>
    <x v="5"/>
    <m/>
    <s v="CO-197"/>
    <m/>
    <x v="3"/>
    <n v="9904.3799999999992"/>
    <x v="1"/>
    <n v="12"/>
  </r>
  <r>
    <x v="1229"/>
    <x v="2"/>
    <m/>
    <s v="CO-16"/>
    <m/>
    <x v="2"/>
    <n v="7299.53"/>
    <x v="3"/>
    <n v="56"/>
  </r>
  <r>
    <x v="1230"/>
    <x v="6"/>
    <m/>
    <s v="CO-18"/>
    <m/>
    <x v="4"/>
    <n v="14761.87"/>
    <x v="4"/>
    <n v="39"/>
  </r>
  <r>
    <x v="1231"/>
    <x v="1"/>
    <m/>
    <s v="CO-45"/>
    <m/>
    <x v="6"/>
    <n v="11303.78"/>
    <x v="1"/>
    <n v="25"/>
  </r>
  <r>
    <x v="1232"/>
    <x v="2"/>
    <m/>
    <s v="CO-45"/>
    <m/>
    <x v="6"/>
    <n v="10903.69"/>
    <x v="0"/>
    <n v="0"/>
  </r>
  <r>
    <x v="1233"/>
    <x v="4"/>
    <m/>
    <s v="CO-4"/>
    <m/>
    <x v="2"/>
    <n v="11344.48"/>
    <x v="0"/>
    <n v="3"/>
  </r>
  <r>
    <x v="1234"/>
    <x v="7"/>
    <m/>
    <s v="CO-45"/>
    <m/>
    <x v="6"/>
    <n v="4555.4399999999996"/>
    <x v="3"/>
    <n v="49"/>
  </r>
  <r>
    <x v="1235"/>
    <x v="5"/>
    <m/>
    <s v="CO-16"/>
    <m/>
    <x v="2"/>
    <n v="5728.02"/>
    <x v="2"/>
    <n v="31"/>
  </r>
  <r>
    <x v="1236"/>
    <x v="8"/>
    <m/>
    <s v="CO-197"/>
    <m/>
    <x v="3"/>
    <n v="7980.11"/>
    <x v="1"/>
    <n v="19"/>
  </r>
  <r>
    <x v="1237"/>
    <x v="2"/>
    <m/>
    <s v="CO-29"/>
    <m/>
    <x v="7"/>
    <n v="10193.48"/>
    <x v="4"/>
    <n v="44"/>
  </r>
  <r>
    <x v="1238"/>
    <x v="4"/>
    <m/>
    <s v="CO-50"/>
    <m/>
    <x v="0"/>
    <n v="13769.8"/>
    <x v="2"/>
    <n v="55"/>
  </r>
  <r>
    <x v="1239"/>
    <x v="5"/>
    <m/>
    <s v="CO-96"/>
    <m/>
    <x v="5"/>
    <n v="13774.73"/>
    <x v="3"/>
    <n v="22"/>
  </r>
  <r>
    <x v="1240"/>
    <x v="8"/>
    <m/>
    <s v="CO-4"/>
    <m/>
    <x v="2"/>
    <n v="12044.63"/>
    <x v="0"/>
    <n v="10"/>
  </r>
  <r>
    <x v="1241"/>
    <x v="7"/>
    <m/>
    <s v="CO-16"/>
    <m/>
    <x v="2"/>
    <n v="11027.99"/>
    <x v="2"/>
    <n v="13"/>
  </r>
  <r>
    <x v="1242"/>
    <x v="7"/>
    <m/>
    <s v="CO-18"/>
    <m/>
    <x v="4"/>
    <n v="10181.89"/>
    <x v="4"/>
    <n v="21"/>
  </r>
  <r>
    <x v="1243"/>
    <x v="4"/>
    <m/>
    <s v="CO-97"/>
    <m/>
    <x v="4"/>
    <n v="10108.39"/>
    <x v="3"/>
    <n v="1"/>
  </r>
  <r>
    <x v="1244"/>
    <x v="1"/>
    <m/>
    <s v="CO-50"/>
    <m/>
    <x v="0"/>
    <n v="7902.7"/>
    <x v="2"/>
    <n v="23"/>
  </r>
  <r>
    <x v="1245"/>
    <x v="2"/>
    <m/>
    <s v="CO-4"/>
    <m/>
    <x v="2"/>
    <n v="3815.85"/>
    <x v="0"/>
    <n v="0"/>
  </r>
  <r>
    <x v="1246"/>
    <x v="0"/>
    <m/>
    <s v="CO-96"/>
    <m/>
    <x v="5"/>
    <n v="9866.25"/>
    <x v="3"/>
    <n v="39"/>
  </r>
  <r>
    <x v="1247"/>
    <x v="9"/>
    <m/>
    <s v="CO-50"/>
    <m/>
    <x v="0"/>
    <n v="1341.48"/>
    <x v="2"/>
    <n v="25"/>
  </r>
  <r>
    <x v="1248"/>
    <x v="5"/>
    <m/>
    <s v="CO-197"/>
    <m/>
    <x v="3"/>
    <n v="13445.22"/>
    <x v="2"/>
    <n v="17"/>
  </r>
  <r>
    <x v="1249"/>
    <x v="4"/>
    <m/>
    <s v="CO-45"/>
    <m/>
    <x v="6"/>
    <n v="9924.14"/>
    <x v="0"/>
    <n v="0"/>
  </r>
  <r>
    <x v="1250"/>
    <x v="2"/>
    <m/>
    <s v="CO-18"/>
    <m/>
    <x v="4"/>
    <n v="3897.18"/>
    <x v="3"/>
    <n v="18"/>
  </r>
  <r>
    <x v="1251"/>
    <x v="5"/>
    <m/>
    <s v="CO-29"/>
    <m/>
    <x v="7"/>
    <n v="5859.43"/>
    <x v="4"/>
    <n v="17"/>
  </r>
  <r>
    <x v="1252"/>
    <x v="1"/>
    <m/>
    <s v="CO-197"/>
    <m/>
    <x v="3"/>
    <n v="6636.59"/>
    <x v="1"/>
    <n v="60"/>
  </r>
  <r>
    <x v="1253"/>
    <x v="6"/>
    <m/>
    <s v="CO-96"/>
    <m/>
    <x v="5"/>
    <n v="5919.88"/>
    <x v="2"/>
    <n v="7"/>
  </r>
  <r>
    <x v="1254"/>
    <x v="8"/>
    <m/>
    <s v="CO-109"/>
    <m/>
    <x v="1"/>
    <n v="11542.17"/>
    <x v="0"/>
    <n v="0"/>
  </r>
  <r>
    <x v="1255"/>
    <x v="8"/>
    <m/>
    <s v="CO-4"/>
    <m/>
    <x v="2"/>
    <n v="1594.14"/>
    <x v="0"/>
    <n v="0"/>
  </r>
  <r>
    <x v="1256"/>
    <x v="2"/>
    <m/>
    <s v="CO-97"/>
    <m/>
    <x v="4"/>
    <n v="13452.86"/>
    <x v="0"/>
    <n v="0"/>
  </r>
  <r>
    <x v="1257"/>
    <x v="4"/>
    <m/>
    <s v="CO-29"/>
    <m/>
    <x v="7"/>
    <n v="4033.23"/>
    <x v="2"/>
    <n v="58"/>
  </r>
  <r>
    <x v="1258"/>
    <x v="8"/>
    <m/>
    <s v="CO-96"/>
    <m/>
    <x v="5"/>
    <n v="105.37"/>
    <x v="2"/>
    <n v="50"/>
  </r>
  <r>
    <x v="1259"/>
    <x v="0"/>
    <m/>
    <s v="CO-45"/>
    <m/>
    <x v="6"/>
    <n v="6569.06"/>
    <x v="3"/>
    <n v="50"/>
  </r>
  <r>
    <x v="1260"/>
    <x v="8"/>
    <m/>
    <s v="CO-109"/>
    <m/>
    <x v="1"/>
    <n v="3426.41"/>
    <x v="1"/>
    <n v="45"/>
  </r>
  <r>
    <x v="1261"/>
    <x v="3"/>
    <m/>
    <s v="CO-50"/>
    <m/>
    <x v="0"/>
    <n v="8530.2999999999993"/>
    <x v="4"/>
    <n v="23"/>
  </r>
  <r>
    <x v="1262"/>
    <x v="0"/>
    <m/>
    <s v="CO-4"/>
    <m/>
    <x v="2"/>
    <n v="6039.19"/>
    <x v="2"/>
    <n v="42"/>
  </r>
  <r>
    <x v="1263"/>
    <x v="8"/>
    <m/>
    <s v="CO-18"/>
    <m/>
    <x v="4"/>
    <n v="8042.66"/>
    <x v="4"/>
    <n v="6"/>
  </r>
  <r>
    <x v="1264"/>
    <x v="1"/>
    <m/>
    <s v="CO-4"/>
    <m/>
    <x v="2"/>
    <n v="9734.5"/>
    <x v="0"/>
    <n v="1"/>
  </r>
  <r>
    <x v="1265"/>
    <x v="3"/>
    <m/>
    <s v="CO-4"/>
    <m/>
    <x v="2"/>
    <n v="10453.44"/>
    <x v="4"/>
    <n v="41"/>
  </r>
  <r>
    <x v="1266"/>
    <x v="1"/>
    <m/>
    <s v="CO-45"/>
    <m/>
    <x v="6"/>
    <n v="1318.69"/>
    <x v="2"/>
    <n v="48"/>
  </r>
  <r>
    <x v="1267"/>
    <x v="8"/>
    <m/>
    <s v="CO-197"/>
    <m/>
    <x v="3"/>
    <n v="583.69000000000005"/>
    <x v="0"/>
    <n v="0"/>
  </r>
  <r>
    <x v="1268"/>
    <x v="8"/>
    <m/>
    <s v="CO-29"/>
    <m/>
    <x v="7"/>
    <n v="991.74"/>
    <x v="1"/>
    <n v="20"/>
  </r>
  <r>
    <x v="1269"/>
    <x v="2"/>
    <m/>
    <s v="CO-109"/>
    <m/>
    <x v="1"/>
    <n v="14476.06"/>
    <x v="3"/>
    <n v="2"/>
  </r>
  <r>
    <x v="1270"/>
    <x v="4"/>
    <m/>
    <s v="CO-18"/>
    <m/>
    <x v="4"/>
    <n v="888.01"/>
    <x v="3"/>
    <n v="3"/>
  </r>
  <r>
    <x v="1271"/>
    <x v="8"/>
    <m/>
    <s v="CO-50"/>
    <m/>
    <x v="0"/>
    <n v="3214.59"/>
    <x v="2"/>
    <n v="34"/>
  </r>
  <r>
    <x v="1272"/>
    <x v="0"/>
    <m/>
    <s v="CO-109"/>
    <m/>
    <x v="1"/>
    <n v="2276.86"/>
    <x v="2"/>
    <n v="60"/>
  </r>
  <r>
    <x v="1273"/>
    <x v="8"/>
    <m/>
    <s v="CO-97"/>
    <m/>
    <x v="4"/>
    <n v="11045.12"/>
    <x v="1"/>
    <n v="2"/>
  </r>
  <r>
    <x v="1274"/>
    <x v="2"/>
    <m/>
    <s v="CO-96"/>
    <m/>
    <x v="5"/>
    <n v="734.74"/>
    <x v="2"/>
    <n v="9"/>
  </r>
  <r>
    <x v="1275"/>
    <x v="0"/>
    <m/>
    <s v="CO-197"/>
    <m/>
    <x v="3"/>
    <n v="9508.2900000000009"/>
    <x v="4"/>
    <n v="53"/>
  </r>
  <r>
    <x v="1276"/>
    <x v="0"/>
    <m/>
    <s v="CO-45"/>
    <m/>
    <x v="6"/>
    <n v="9187.83"/>
    <x v="3"/>
    <n v="5"/>
  </r>
  <r>
    <x v="1277"/>
    <x v="0"/>
    <m/>
    <s v="CO-50"/>
    <m/>
    <x v="0"/>
    <n v="7482.3"/>
    <x v="3"/>
    <n v="15"/>
  </r>
  <r>
    <x v="1278"/>
    <x v="4"/>
    <m/>
    <s v="CO-16"/>
    <m/>
    <x v="2"/>
    <n v="6421.86"/>
    <x v="3"/>
    <n v="48"/>
  </r>
  <r>
    <x v="1279"/>
    <x v="6"/>
    <m/>
    <s v="CO-18"/>
    <m/>
    <x v="4"/>
    <n v="1856"/>
    <x v="2"/>
    <n v="35"/>
  </r>
  <r>
    <x v="1280"/>
    <x v="2"/>
    <m/>
    <s v="CO-18"/>
    <m/>
    <x v="4"/>
    <n v="12554.59"/>
    <x v="3"/>
    <n v="49"/>
  </r>
  <r>
    <x v="1281"/>
    <x v="4"/>
    <m/>
    <s v="CO-96"/>
    <m/>
    <x v="5"/>
    <n v="2643.04"/>
    <x v="0"/>
    <n v="0"/>
  </r>
  <r>
    <x v="1282"/>
    <x v="1"/>
    <m/>
    <s v="CO-197"/>
    <m/>
    <x v="3"/>
    <n v="10459.620000000001"/>
    <x v="2"/>
    <n v="29"/>
  </r>
  <r>
    <x v="1283"/>
    <x v="6"/>
    <m/>
    <s v="CO-96"/>
    <m/>
    <x v="5"/>
    <n v="658.45"/>
    <x v="0"/>
    <n v="14"/>
  </r>
  <r>
    <x v="1284"/>
    <x v="0"/>
    <m/>
    <s v="CO-97"/>
    <m/>
    <x v="4"/>
    <n v="13200.42"/>
    <x v="0"/>
    <n v="0"/>
  </r>
  <r>
    <x v="1285"/>
    <x v="8"/>
    <m/>
    <s v="CO-96"/>
    <m/>
    <x v="5"/>
    <n v="13309.38"/>
    <x v="1"/>
    <n v="52"/>
  </r>
  <r>
    <x v="1286"/>
    <x v="8"/>
    <m/>
    <s v="CO-197"/>
    <m/>
    <x v="3"/>
    <n v="3132.1"/>
    <x v="2"/>
    <n v="34"/>
  </r>
  <r>
    <x v="1287"/>
    <x v="9"/>
    <m/>
    <s v="CO-29"/>
    <m/>
    <x v="7"/>
    <n v="3626.84"/>
    <x v="0"/>
    <n v="0"/>
  </r>
  <r>
    <x v="1288"/>
    <x v="5"/>
    <m/>
    <s v="CO-197"/>
    <m/>
    <x v="3"/>
    <n v="10772.12"/>
    <x v="2"/>
    <n v="6"/>
  </r>
  <r>
    <x v="1289"/>
    <x v="0"/>
    <m/>
    <s v="CO-18"/>
    <m/>
    <x v="4"/>
    <n v="6310.85"/>
    <x v="2"/>
    <n v="13"/>
  </r>
  <r>
    <x v="1290"/>
    <x v="7"/>
    <m/>
    <s v="CO-109"/>
    <m/>
    <x v="1"/>
    <n v="14653.03"/>
    <x v="2"/>
    <n v="56"/>
  </r>
  <r>
    <x v="1291"/>
    <x v="1"/>
    <m/>
    <s v="CO-109"/>
    <m/>
    <x v="1"/>
    <n v="3328.18"/>
    <x v="3"/>
    <n v="43"/>
  </r>
  <r>
    <x v="1292"/>
    <x v="8"/>
    <m/>
    <s v="CO-4"/>
    <m/>
    <x v="2"/>
    <n v="843.38"/>
    <x v="0"/>
    <n v="3"/>
  </r>
  <r>
    <x v="1293"/>
    <x v="3"/>
    <m/>
    <s v="CO-197"/>
    <m/>
    <x v="3"/>
    <n v="2438.41"/>
    <x v="4"/>
    <n v="4"/>
  </r>
  <r>
    <x v="1294"/>
    <x v="2"/>
    <m/>
    <s v="CO-4"/>
    <m/>
    <x v="2"/>
    <n v="3183.37"/>
    <x v="0"/>
    <n v="10"/>
  </r>
  <r>
    <x v="1295"/>
    <x v="6"/>
    <m/>
    <s v="CO-50"/>
    <m/>
    <x v="0"/>
    <n v="11119.23"/>
    <x v="4"/>
    <n v="12"/>
  </r>
  <r>
    <x v="1296"/>
    <x v="8"/>
    <m/>
    <s v="CO-97"/>
    <m/>
    <x v="4"/>
    <n v="7301.67"/>
    <x v="0"/>
    <n v="0"/>
  </r>
  <r>
    <x v="1297"/>
    <x v="3"/>
    <m/>
    <s v="CO-96"/>
    <m/>
    <x v="5"/>
    <n v="8717.44"/>
    <x v="1"/>
    <n v="48"/>
  </r>
  <r>
    <x v="1298"/>
    <x v="1"/>
    <m/>
    <s v="CO-16"/>
    <m/>
    <x v="2"/>
    <n v="11695.68"/>
    <x v="1"/>
    <n v="7"/>
  </r>
  <r>
    <x v="1299"/>
    <x v="0"/>
    <m/>
    <s v="CO-29"/>
    <m/>
    <x v="7"/>
    <n v="13054.8"/>
    <x v="1"/>
    <n v="15"/>
  </r>
  <r>
    <x v="1300"/>
    <x v="1"/>
    <m/>
    <s v="CO-45"/>
    <m/>
    <x v="6"/>
    <n v="8797.1299999999992"/>
    <x v="0"/>
    <n v="0"/>
  </r>
  <r>
    <x v="1301"/>
    <x v="8"/>
    <m/>
    <s v="CO-96"/>
    <m/>
    <x v="5"/>
    <n v="6852.11"/>
    <x v="1"/>
    <n v="9"/>
  </r>
  <r>
    <x v="1302"/>
    <x v="3"/>
    <m/>
    <s v="CO-16"/>
    <m/>
    <x v="2"/>
    <n v="9498.7199999999993"/>
    <x v="4"/>
    <n v="13"/>
  </r>
  <r>
    <x v="1303"/>
    <x v="6"/>
    <m/>
    <s v="CO-197"/>
    <m/>
    <x v="3"/>
    <n v="529.80999999999995"/>
    <x v="2"/>
    <n v="18"/>
  </r>
  <r>
    <x v="1304"/>
    <x v="3"/>
    <m/>
    <s v="CO-50"/>
    <m/>
    <x v="0"/>
    <n v="12782.19"/>
    <x v="1"/>
    <n v="11"/>
  </r>
  <r>
    <x v="1305"/>
    <x v="9"/>
    <m/>
    <s v="CO-16"/>
    <m/>
    <x v="2"/>
    <n v="13301.81"/>
    <x v="2"/>
    <n v="51"/>
  </r>
  <r>
    <x v="1306"/>
    <x v="0"/>
    <m/>
    <s v="CO-197"/>
    <m/>
    <x v="3"/>
    <n v="8692.92"/>
    <x v="2"/>
    <n v="15"/>
  </r>
  <r>
    <x v="1307"/>
    <x v="9"/>
    <m/>
    <s v="CO-29"/>
    <m/>
    <x v="7"/>
    <n v="12861.76"/>
    <x v="1"/>
    <n v="14"/>
  </r>
  <r>
    <x v="1308"/>
    <x v="1"/>
    <m/>
    <s v="CO-45"/>
    <m/>
    <x v="6"/>
    <n v="12562.99"/>
    <x v="0"/>
    <n v="12"/>
  </r>
  <r>
    <x v="1309"/>
    <x v="9"/>
    <m/>
    <s v="CO-16"/>
    <m/>
    <x v="2"/>
    <n v="4943.07"/>
    <x v="2"/>
    <n v="58"/>
  </r>
  <r>
    <x v="1310"/>
    <x v="2"/>
    <m/>
    <s v="CO-197"/>
    <m/>
    <x v="3"/>
    <n v="13710.63"/>
    <x v="4"/>
    <n v="27"/>
  </r>
  <r>
    <x v="1311"/>
    <x v="2"/>
    <m/>
    <s v="CO-97"/>
    <m/>
    <x v="4"/>
    <n v="14869.54"/>
    <x v="3"/>
    <n v="33"/>
  </r>
  <r>
    <x v="1312"/>
    <x v="0"/>
    <m/>
    <s v="CO-29"/>
    <m/>
    <x v="7"/>
    <n v="7990.27"/>
    <x v="1"/>
    <n v="52"/>
  </r>
  <r>
    <x v="1313"/>
    <x v="4"/>
    <m/>
    <s v="CO-45"/>
    <m/>
    <x v="6"/>
    <n v="7454.51"/>
    <x v="0"/>
    <n v="0"/>
  </r>
  <r>
    <x v="1314"/>
    <x v="0"/>
    <m/>
    <s v="CO-16"/>
    <m/>
    <x v="2"/>
    <n v="2034.04"/>
    <x v="1"/>
    <n v="42"/>
  </r>
  <r>
    <x v="1315"/>
    <x v="8"/>
    <m/>
    <s v="CO-97"/>
    <m/>
    <x v="4"/>
    <n v="7222.76"/>
    <x v="1"/>
    <n v="46"/>
  </r>
  <r>
    <x v="1316"/>
    <x v="6"/>
    <m/>
    <s v="CO-96"/>
    <m/>
    <x v="5"/>
    <n v="11221.94"/>
    <x v="0"/>
    <n v="8"/>
  </r>
  <r>
    <x v="1317"/>
    <x v="8"/>
    <m/>
    <s v="CO-29"/>
    <m/>
    <x v="7"/>
    <n v="2814.94"/>
    <x v="3"/>
    <n v="41"/>
  </r>
  <r>
    <x v="1318"/>
    <x v="7"/>
    <m/>
    <s v="CO-97"/>
    <m/>
    <x v="4"/>
    <n v="12912.72"/>
    <x v="0"/>
    <n v="0"/>
  </r>
  <r>
    <x v="1319"/>
    <x v="9"/>
    <m/>
    <s v="CO-97"/>
    <m/>
    <x v="4"/>
    <n v="4484.0200000000004"/>
    <x v="3"/>
    <n v="45"/>
  </r>
  <r>
    <x v="1320"/>
    <x v="9"/>
    <m/>
    <s v="CO-109"/>
    <m/>
    <x v="1"/>
    <n v="8649.68"/>
    <x v="0"/>
    <n v="0"/>
  </r>
  <r>
    <x v="1321"/>
    <x v="2"/>
    <m/>
    <s v="CO-18"/>
    <m/>
    <x v="4"/>
    <n v="11049.62"/>
    <x v="0"/>
    <n v="0"/>
  </r>
  <r>
    <x v="1322"/>
    <x v="3"/>
    <m/>
    <s v="CO-50"/>
    <m/>
    <x v="0"/>
    <n v="5775.18"/>
    <x v="1"/>
    <n v="3"/>
  </r>
  <r>
    <x v="1323"/>
    <x v="7"/>
    <m/>
    <s v="CO-18"/>
    <m/>
    <x v="4"/>
    <n v="2670.25"/>
    <x v="2"/>
    <n v="5"/>
  </r>
  <r>
    <x v="1324"/>
    <x v="0"/>
    <m/>
    <s v="CO-16"/>
    <m/>
    <x v="2"/>
    <n v="2119.17"/>
    <x v="1"/>
    <n v="35"/>
  </r>
  <r>
    <x v="1325"/>
    <x v="1"/>
    <m/>
    <s v="CO-45"/>
    <m/>
    <x v="6"/>
    <n v="11073.83"/>
    <x v="3"/>
    <n v="56"/>
  </r>
  <r>
    <x v="1326"/>
    <x v="4"/>
    <m/>
    <s v="CO-16"/>
    <m/>
    <x v="2"/>
    <n v="4840.93"/>
    <x v="4"/>
    <n v="33"/>
  </r>
  <r>
    <x v="1327"/>
    <x v="8"/>
    <m/>
    <s v="CO-4"/>
    <m/>
    <x v="2"/>
    <n v="864.18"/>
    <x v="1"/>
    <n v="29"/>
  </r>
  <r>
    <x v="1328"/>
    <x v="8"/>
    <m/>
    <s v="CO-109"/>
    <m/>
    <x v="1"/>
    <n v="7923.9"/>
    <x v="0"/>
    <n v="0"/>
  </r>
  <r>
    <x v="1329"/>
    <x v="0"/>
    <m/>
    <s v="CO-96"/>
    <m/>
    <x v="5"/>
    <n v="5553.78"/>
    <x v="2"/>
    <n v="45"/>
  </r>
  <r>
    <x v="1330"/>
    <x v="4"/>
    <m/>
    <s v="CO-16"/>
    <m/>
    <x v="2"/>
    <n v="13383.95"/>
    <x v="1"/>
    <n v="6"/>
  </r>
  <r>
    <x v="1331"/>
    <x v="6"/>
    <m/>
    <s v="CO-197"/>
    <m/>
    <x v="3"/>
    <n v="4361.17"/>
    <x v="4"/>
    <n v="7"/>
  </r>
  <r>
    <x v="1332"/>
    <x v="7"/>
    <m/>
    <s v="CO-4"/>
    <m/>
    <x v="2"/>
    <n v="1724.77"/>
    <x v="0"/>
    <n v="0"/>
  </r>
  <r>
    <x v="1333"/>
    <x v="6"/>
    <m/>
    <s v="CO-97"/>
    <m/>
    <x v="4"/>
    <n v="4432.88"/>
    <x v="4"/>
    <n v="35"/>
  </r>
  <r>
    <x v="1334"/>
    <x v="2"/>
    <m/>
    <s v="CO-45"/>
    <m/>
    <x v="6"/>
    <n v="5233.17"/>
    <x v="1"/>
    <n v="42"/>
  </r>
  <r>
    <x v="1335"/>
    <x v="7"/>
    <m/>
    <s v="CO-4"/>
    <m/>
    <x v="2"/>
    <n v="2876.46"/>
    <x v="0"/>
    <n v="0"/>
  </r>
  <r>
    <x v="1336"/>
    <x v="3"/>
    <m/>
    <s v="CO-18"/>
    <m/>
    <x v="4"/>
    <n v="6204.79"/>
    <x v="1"/>
    <n v="42"/>
  </r>
  <r>
    <x v="1337"/>
    <x v="7"/>
    <m/>
    <s v="CO-45"/>
    <m/>
    <x v="6"/>
    <n v="8920.69"/>
    <x v="2"/>
    <n v="54"/>
  </r>
  <r>
    <x v="1338"/>
    <x v="5"/>
    <m/>
    <s v="CO-45"/>
    <m/>
    <x v="6"/>
    <n v="6897.21"/>
    <x v="2"/>
    <n v="58"/>
  </r>
  <r>
    <x v="1339"/>
    <x v="2"/>
    <m/>
    <s v="CO-197"/>
    <m/>
    <x v="3"/>
    <n v="11849.55"/>
    <x v="0"/>
    <n v="0"/>
  </r>
  <r>
    <x v="1340"/>
    <x v="9"/>
    <m/>
    <s v="CO-197"/>
    <m/>
    <x v="3"/>
    <n v="5329.16"/>
    <x v="1"/>
    <n v="11"/>
  </r>
  <r>
    <x v="1341"/>
    <x v="6"/>
    <m/>
    <s v="CO-197"/>
    <m/>
    <x v="3"/>
    <n v="10691.59"/>
    <x v="1"/>
    <n v="12"/>
  </r>
  <r>
    <x v="1342"/>
    <x v="8"/>
    <m/>
    <s v="CO-197"/>
    <m/>
    <x v="3"/>
    <n v="3606.68"/>
    <x v="0"/>
    <n v="0"/>
  </r>
  <r>
    <x v="1343"/>
    <x v="3"/>
    <m/>
    <s v="CO-4"/>
    <m/>
    <x v="2"/>
    <n v="5576.6"/>
    <x v="0"/>
    <n v="0"/>
  </r>
  <r>
    <x v="1344"/>
    <x v="7"/>
    <m/>
    <s v="CO-18"/>
    <m/>
    <x v="4"/>
    <n v="2261.77"/>
    <x v="1"/>
    <n v="11"/>
  </r>
  <r>
    <x v="1345"/>
    <x v="6"/>
    <m/>
    <s v="CO-4"/>
    <m/>
    <x v="2"/>
    <n v="1866.28"/>
    <x v="0"/>
    <n v="15"/>
  </r>
  <r>
    <x v="1346"/>
    <x v="5"/>
    <m/>
    <s v="CO-45"/>
    <m/>
    <x v="6"/>
    <n v="13920.78"/>
    <x v="0"/>
    <n v="0"/>
  </r>
  <r>
    <x v="1347"/>
    <x v="9"/>
    <m/>
    <s v="CO-45"/>
    <m/>
    <x v="6"/>
    <n v="13444.86"/>
    <x v="4"/>
    <n v="49"/>
  </r>
  <r>
    <x v="1348"/>
    <x v="8"/>
    <m/>
    <s v="CO-197"/>
    <m/>
    <x v="3"/>
    <n v="12003.66"/>
    <x v="3"/>
    <n v="60"/>
  </r>
  <r>
    <x v="1349"/>
    <x v="2"/>
    <m/>
    <s v="CO-18"/>
    <m/>
    <x v="4"/>
    <n v="10352.75"/>
    <x v="3"/>
    <n v="58"/>
  </r>
  <r>
    <x v="1350"/>
    <x v="9"/>
    <m/>
    <s v="CO-197"/>
    <m/>
    <x v="3"/>
    <n v="10186.219999999999"/>
    <x v="0"/>
    <n v="1"/>
  </r>
  <r>
    <x v="1351"/>
    <x v="9"/>
    <m/>
    <s v="CO-16"/>
    <m/>
    <x v="2"/>
    <n v="6717.29"/>
    <x v="0"/>
    <n v="0"/>
  </r>
  <r>
    <x v="1352"/>
    <x v="1"/>
    <m/>
    <s v="CO-109"/>
    <m/>
    <x v="1"/>
    <n v="3371.05"/>
    <x v="4"/>
    <n v="18"/>
  </r>
  <r>
    <x v="1353"/>
    <x v="0"/>
    <m/>
    <s v="CO-97"/>
    <m/>
    <x v="4"/>
    <n v="1299.6600000000001"/>
    <x v="3"/>
    <n v="44"/>
  </r>
  <r>
    <x v="1354"/>
    <x v="9"/>
    <m/>
    <s v="CO-109"/>
    <m/>
    <x v="1"/>
    <n v="5946.63"/>
    <x v="1"/>
    <n v="39"/>
  </r>
  <r>
    <x v="1355"/>
    <x v="4"/>
    <m/>
    <s v="CO-109"/>
    <m/>
    <x v="1"/>
    <n v="14153.86"/>
    <x v="4"/>
    <n v="24"/>
  </r>
  <r>
    <x v="1356"/>
    <x v="3"/>
    <m/>
    <s v="CO-197"/>
    <m/>
    <x v="3"/>
    <n v="10753.66"/>
    <x v="1"/>
    <n v="25"/>
  </r>
  <r>
    <x v="1357"/>
    <x v="7"/>
    <m/>
    <s v="CO-97"/>
    <m/>
    <x v="4"/>
    <n v="4305.5200000000004"/>
    <x v="1"/>
    <n v="29"/>
  </r>
  <r>
    <x v="1358"/>
    <x v="4"/>
    <m/>
    <s v="CO-50"/>
    <m/>
    <x v="0"/>
    <n v="3274.64"/>
    <x v="4"/>
    <n v="48"/>
  </r>
  <r>
    <x v="1359"/>
    <x v="4"/>
    <m/>
    <s v="CO-45"/>
    <m/>
    <x v="6"/>
    <n v="4365.08"/>
    <x v="3"/>
    <n v="58"/>
  </r>
  <r>
    <x v="1360"/>
    <x v="6"/>
    <m/>
    <s v="CO-29"/>
    <m/>
    <x v="7"/>
    <n v="2136.54"/>
    <x v="2"/>
    <n v="6"/>
  </r>
  <r>
    <x v="1361"/>
    <x v="3"/>
    <m/>
    <s v="CO-16"/>
    <m/>
    <x v="2"/>
    <n v="4583.3100000000004"/>
    <x v="4"/>
    <n v="34"/>
  </r>
  <r>
    <x v="1362"/>
    <x v="0"/>
    <m/>
    <s v="CO-50"/>
    <m/>
    <x v="0"/>
    <n v="14000.64"/>
    <x v="2"/>
    <n v="25"/>
  </r>
  <r>
    <x v="1363"/>
    <x v="6"/>
    <m/>
    <s v="CO-97"/>
    <m/>
    <x v="4"/>
    <n v="6171.44"/>
    <x v="4"/>
    <n v="27"/>
  </r>
  <r>
    <x v="1364"/>
    <x v="6"/>
    <m/>
    <s v="CO-109"/>
    <m/>
    <x v="1"/>
    <n v="6958.69"/>
    <x v="2"/>
    <n v="59"/>
  </r>
  <r>
    <x v="1365"/>
    <x v="8"/>
    <m/>
    <s v="CO-16"/>
    <m/>
    <x v="2"/>
    <n v="2830.8"/>
    <x v="1"/>
    <n v="36"/>
  </r>
  <r>
    <x v="1366"/>
    <x v="5"/>
    <m/>
    <s v="CO-97"/>
    <m/>
    <x v="4"/>
    <n v="12350.85"/>
    <x v="1"/>
    <n v="38"/>
  </r>
  <r>
    <x v="1367"/>
    <x v="2"/>
    <m/>
    <s v="CO-45"/>
    <m/>
    <x v="6"/>
    <n v="8411.25"/>
    <x v="1"/>
    <n v="2"/>
  </r>
  <r>
    <x v="1368"/>
    <x v="8"/>
    <m/>
    <s v="CO-197"/>
    <m/>
    <x v="3"/>
    <n v="3977.02"/>
    <x v="4"/>
    <n v="54"/>
  </r>
  <r>
    <x v="1369"/>
    <x v="6"/>
    <m/>
    <s v="CO-50"/>
    <m/>
    <x v="0"/>
    <n v="9824.5"/>
    <x v="4"/>
    <n v="27"/>
  </r>
  <r>
    <x v="1370"/>
    <x v="0"/>
    <m/>
    <s v="CO-45"/>
    <m/>
    <x v="6"/>
    <n v="13606.56"/>
    <x v="2"/>
    <n v="2"/>
  </r>
  <r>
    <x v="1371"/>
    <x v="3"/>
    <m/>
    <s v="CO-4"/>
    <m/>
    <x v="2"/>
    <n v="7421.1"/>
    <x v="4"/>
    <n v="39"/>
  </r>
  <r>
    <x v="1372"/>
    <x v="8"/>
    <m/>
    <s v="CO-96"/>
    <m/>
    <x v="5"/>
    <n v="7233.26"/>
    <x v="1"/>
    <n v="17"/>
  </r>
  <r>
    <x v="1373"/>
    <x v="5"/>
    <m/>
    <s v="CO-50"/>
    <m/>
    <x v="0"/>
    <n v="5629.37"/>
    <x v="3"/>
    <n v="2"/>
  </r>
  <r>
    <x v="1374"/>
    <x v="3"/>
    <m/>
    <s v="CO-197"/>
    <m/>
    <x v="3"/>
    <n v="8745.73"/>
    <x v="0"/>
    <n v="0"/>
  </r>
  <r>
    <x v="1375"/>
    <x v="3"/>
    <m/>
    <s v="CO-197"/>
    <m/>
    <x v="3"/>
    <n v="840.68"/>
    <x v="1"/>
    <n v="41"/>
  </r>
  <r>
    <x v="1376"/>
    <x v="0"/>
    <m/>
    <s v="CO-97"/>
    <m/>
    <x v="4"/>
    <n v="4383.3500000000004"/>
    <x v="1"/>
    <n v="60"/>
  </r>
  <r>
    <x v="1377"/>
    <x v="0"/>
    <m/>
    <s v="CO-109"/>
    <m/>
    <x v="1"/>
    <n v="2947.53"/>
    <x v="2"/>
    <n v="49"/>
  </r>
  <r>
    <x v="1378"/>
    <x v="3"/>
    <m/>
    <s v="CO-96"/>
    <m/>
    <x v="5"/>
    <n v="11301.8"/>
    <x v="1"/>
    <n v="56"/>
  </r>
  <r>
    <x v="1379"/>
    <x v="0"/>
    <m/>
    <s v="CO-4"/>
    <m/>
    <x v="2"/>
    <n v="4108.3100000000004"/>
    <x v="2"/>
    <n v="24"/>
  </r>
  <r>
    <x v="1380"/>
    <x v="6"/>
    <m/>
    <s v="CO-109"/>
    <m/>
    <x v="1"/>
    <n v="8721.7000000000007"/>
    <x v="3"/>
    <n v="1"/>
  </r>
  <r>
    <x v="1381"/>
    <x v="3"/>
    <m/>
    <s v="CO-109"/>
    <m/>
    <x v="1"/>
    <n v="4257.2"/>
    <x v="3"/>
    <n v="27"/>
  </r>
  <r>
    <x v="1382"/>
    <x v="7"/>
    <m/>
    <s v="CO-197"/>
    <m/>
    <x v="3"/>
    <n v="1581.15"/>
    <x v="0"/>
    <n v="0"/>
  </r>
  <r>
    <x v="1383"/>
    <x v="7"/>
    <m/>
    <s v="CO-96"/>
    <m/>
    <x v="5"/>
    <n v="10360.31"/>
    <x v="4"/>
    <n v="55"/>
  </r>
  <r>
    <x v="1384"/>
    <x v="8"/>
    <m/>
    <s v="CO-109"/>
    <m/>
    <x v="1"/>
    <n v="10548.86"/>
    <x v="3"/>
    <n v="27"/>
  </r>
  <r>
    <x v="1385"/>
    <x v="3"/>
    <m/>
    <s v="CO-50"/>
    <m/>
    <x v="0"/>
    <n v="1792.66"/>
    <x v="0"/>
    <n v="1"/>
  </r>
  <r>
    <x v="1386"/>
    <x v="6"/>
    <m/>
    <s v="CO-4"/>
    <m/>
    <x v="2"/>
    <n v="10381.209999999999"/>
    <x v="0"/>
    <n v="0"/>
  </r>
  <r>
    <x v="1387"/>
    <x v="6"/>
    <m/>
    <s v="CO-4"/>
    <m/>
    <x v="2"/>
    <n v="479.96"/>
    <x v="3"/>
    <n v="15"/>
  </r>
  <r>
    <x v="1388"/>
    <x v="6"/>
    <m/>
    <s v="CO-197"/>
    <m/>
    <x v="3"/>
    <n v="10336.31"/>
    <x v="1"/>
    <n v="14"/>
  </r>
  <r>
    <x v="1389"/>
    <x v="0"/>
    <m/>
    <s v="CO-50"/>
    <m/>
    <x v="0"/>
    <n v="6400.84"/>
    <x v="3"/>
    <n v="8"/>
  </r>
  <r>
    <x v="1390"/>
    <x v="1"/>
    <m/>
    <s v="CO-97"/>
    <m/>
    <x v="4"/>
    <n v="11631.65"/>
    <x v="3"/>
    <n v="3"/>
  </r>
  <r>
    <x v="1391"/>
    <x v="2"/>
    <m/>
    <s v="CO-50"/>
    <m/>
    <x v="0"/>
    <n v="540.25"/>
    <x v="2"/>
    <n v="38"/>
  </r>
  <r>
    <x v="1392"/>
    <x v="2"/>
    <m/>
    <s v="CO-45"/>
    <m/>
    <x v="6"/>
    <n v="1827.89"/>
    <x v="0"/>
    <n v="0"/>
  </r>
  <r>
    <x v="1393"/>
    <x v="9"/>
    <m/>
    <s v="CO-50"/>
    <m/>
    <x v="0"/>
    <n v="11746.44"/>
    <x v="4"/>
    <n v="14"/>
  </r>
  <r>
    <x v="1394"/>
    <x v="6"/>
    <m/>
    <s v="CO-16"/>
    <m/>
    <x v="2"/>
    <n v="2812.49"/>
    <x v="1"/>
    <n v="6"/>
  </r>
  <r>
    <x v="1395"/>
    <x v="7"/>
    <m/>
    <s v="CO-4"/>
    <m/>
    <x v="2"/>
    <n v="14234.43"/>
    <x v="1"/>
    <n v="11"/>
  </r>
  <r>
    <x v="1396"/>
    <x v="9"/>
    <m/>
    <s v="CO-96"/>
    <m/>
    <x v="5"/>
    <n v="3665.25"/>
    <x v="2"/>
    <n v="7"/>
  </r>
  <r>
    <x v="1397"/>
    <x v="6"/>
    <m/>
    <s v="CO-97"/>
    <m/>
    <x v="4"/>
    <n v="7956.14"/>
    <x v="2"/>
    <n v="19"/>
  </r>
  <r>
    <x v="1398"/>
    <x v="1"/>
    <m/>
    <s v="CO-109"/>
    <m/>
    <x v="1"/>
    <n v="114.72"/>
    <x v="3"/>
    <n v="60"/>
  </r>
  <r>
    <x v="1399"/>
    <x v="9"/>
    <m/>
    <s v="CO-109"/>
    <m/>
    <x v="1"/>
    <n v="12776.89"/>
    <x v="1"/>
    <n v="45"/>
  </r>
  <r>
    <x v="1400"/>
    <x v="3"/>
    <m/>
    <s v="CO-197"/>
    <m/>
    <x v="3"/>
    <n v="6623"/>
    <x v="4"/>
    <n v="12"/>
  </r>
  <r>
    <x v="1401"/>
    <x v="0"/>
    <m/>
    <s v="CO-29"/>
    <m/>
    <x v="7"/>
    <n v="6390.17"/>
    <x v="1"/>
    <n v="27"/>
  </r>
  <r>
    <x v="1402"/>
    <x v="3"/>
    <m/>
    <s v="CO-18"/>
    <m/>
    <x v="4"/>
    <n v="1898.05"/>
    <x v="0"/>
    <n v="3"/>
  </r>
  <r>
    <x v="1403"/>
    <x v="0"/>
    <m/>
    <s v="CO-4"/>
    <m/>
    <x v="2"/>
    <n v="8379.1299999999992"/>
    <x v="0"/>
    <n v="6"/>
  </r>
  <r>
    <x v="1404"/>
    <x v="8"/>
    <m/>
    <s v="CO-29"/>
    <m/>
    <x v="7"/>
    <n v="4289.99"/>
    <x v="2"/>
    <n v="20"/>
  </r>
  <r>
    <x v="1405"/>
    <x v="4"/>
    <m/>
    <s v="CO-16"/>
    <m/>
    <x v="2"/>
    <n v="8331.0400000000009"/>
    <x v="1"/>
    <n v="55"/>
  </r>
  <r>
    <x v="1406"/>
    <x v="8"/>
    <m/>
    <s v="CO-16"/>
    <m/>
    <x v="2"/>
    <n v="12858.77"/>
    <x v="4"/>
    <n v="52"/>
  </r>
  <r>
    <x v="1407"/>
    <x v="0"/>
    <m/>
    <s v="CO-18"/>
    <m/>
    <x v="4"/>
    <n v="2730.49"/>
    <x v="4"/>
    <n v="32"/>
  </r>
  <r>
    <x v="1408"/>
    <x v="0"/>
    <m/>
    <s v="CO-29"/>
    <m/>
    <x v="7"/>
    <n v="6598.97"/>
    <x v="2"/>
    <n v="6"/>
  </r>
  <r>
    <x v="1409"/>
    <x v="6"/>
    <m/>
    <s v="CO-197"/>
    <m/>
    <x v="3"/>
    <n v="5952.43"/>
    <x v="2"/>
    <n v="7"/>
  </r>
  <r>
    <x v="1410"/>
    <x v="0"/>
    <m/>
    <s v="CO-50"/>
    <m/>
    <x v="0"/>
    <n v="5487.46"/>
    <x v="0"/>
    <n v="4"/>
  </r>
  <r>
    <x v="1411"/>
    <x v="9"/>
    <m/>
    <s v="CO-16"/>
    <m/>
    <x v="2"/>
    <n v="12579.73"/>
    <x v="3"/>
    <n v="18"/>
  </r>
  <r>
    <x v="1412"/>
    <x v="4"/>
    <m/>
    <s v="CO-96"/>
    <m/>
    <x v="5"/>
    <n v="4130.9399999999996"/>
    <x v="3"/>
    <n v="42"/>
  </r>
  <r>
    <x v="1413"/>
    <x v="8"/>
    <m/>
    <s v="CO-18"/>
    <m/>
    <x v="4"/>
    <n v="7163.6"/>
    <x v="2"/>
    <n v="26"/>
  </r>
  <r>
    <x v="1414"/>
    <x v="0"/>
    <m/>
    <s v="CO-109"/>
    <m/>
    <x v="1"/>
    <n v="4219.41"/>
    <x v="3"/>
    <n v="7"/>
  </r>
  <r>
    <x v="1415"/>
    <x v="0"/>
    <m/>
    <s v="CO-4"/>
    <m/>
    <x v="2"/>
    <n v="7365.65"/>
    <x v="0"/>
    <n v="0"/>
  </r>
  <r>
    <x v="1416"/>
    <x v="6"/>
    <m/>
    <s v="CO-97"/>
    <m/>
    <x v="4"/>
    <n v="12463.17"/>
    <x v="1"/>
    <n v="2"/>
  </r>
  <r>
    <x v="1417"/>
    <x v="9"/>
    <m/>
    <s v="CO-29"/>
    <m/>
    <x v="7"/>
    <n v="9088.5300000000007"/>
    <x v="1"/>
    <n v="20"/>
  </r>
  <r>
    <x v="1418"/>
    <x v="8"/>
    <m/>
    <s v="CO-96"/>
    <m/>
    <x v="5"/>
    <n v="1490.19"/>
    <x v="0"/>
    <n v="13"/>
  </r>
  <r>
    <x v="1419"/>
    <x v="5"/>
    <m/>
    <s v="CO-16"/>
    <m/>
    <x v="2"/>
    <n v="4438.7700000000004"/>
    <x v="1"/>
    <n v="33"/>
  </r>
  <r>
    <x v="1420"/>
    <x v="2"/>
    <m/>
    <s v="CO-109"/>
    <m/>
    <x v="1"/>
    <n v="5187.05"/>
    <x v="3"/>
    <n v="35"/>
  </r>
  <r>
    <x v="1421"/>
    <x v="4"/>
    <m/>
    <s v="CO-97"/>
    <m/>
    <x v="4"/>
    <n v="14861.14"/>
    <x v="4"/>
    <n v="8"/>
  </r>
  <r>
    <x v="1422"/>
    <x v="2"/>
    <m/>
    <s v="CO-45"/>
    <m/>
    <x v="6"/>
    <n v="4752.66"/>
    <x v="1"/>
    <n v="30"/>
  </r>
  <r>
    <x v="1423"/>
    <x v="5"/>
    <m/>
    <s v="CO-97"/>
    <m/>
    <x v="4"/>
    <n v="2694.19"/>
    <x v="2"/>
    <n v="50"/>
  </r>
  <r>
    <x v="1424"/>
    <x v="8"/>
    <m/>
    <s v="CO-197"/>
    <m/>
    <x v="3"/>
    <n v="7397.62"/>
    <x v="0"/>
    <n v="12"/>
  </r>
  <r>
    <x v="1425"/>
    <x v="7"/>
    <m/>
    <s v="CO-50"/>
    <m/>
    <x v="0"/>
    <n v="8554.39"/>
    <x v="1"/>
    <n v="36"/>
  </r>
  <r>
    <x v="1426"/>
    <x v="7"/>
    <m/>
    <s v="CO-96"/>
    <m/>
    <x v="5"/>
    <n v="7073.78"/>
    <x v="2"/>
    <n v="11"/>
  </r>
  <r>
    <x v="1427"/>
    <x v="9"/>
    <m/>
    <s v="CO-97"/>
    <m/>
    <x v="4"/>
    <n v="5901.2"/>
    <x v="1"/>
    <n v="25"/>
  </r>
  <r>
    <x v="1428"/>
    <x v="2"/>
    <m/>
    <s v="CO-18"/>
    <m/>
    <x v="4"/>
    <n v="11508.74"/>
    <x v="1"/>
    <n v="4"/>
  </r>
  <r>
    <x v="1429"/>
    <x v="9"/>
    <m/>
    <s v="CO-96"/>
    <m/>
    <x v="5"/>
    <n v="724.52"/>
    <x v="3"/>
    <n v="23"/>
  </r>
  <r>
    <x v="1430"/>
    <x v="0"/>
    <m/>
    <s v="CO-97"/>
    <m/>
    <x v="4"/>
    <n v="11489.65"/>
    <x v="2"/>
    <n v="25"/>
  </r>
  <r>
    <x v="1431"/>
    <x v="2"/>
    <m/>
    <s v="CO-29"/>
    <m/>
    <x v="7"/>
    <n v="5209.8900000000003"/>
    <x v="1"/>
    <n v="23"/>
  </r>
  <r>
    <x v="1432"/>
    <x v="0"/>
    <m/>
    <s v="CO-16"/>
    <m/>
    <x v="2"/>
    <n v="3751.83"/>
    <x v="2"/>
    <n v="38"/>
  </r>
  <r>
    <x v="1433"/>
    <x v="7"/>
    <m/>
    <s v="CO-50"/>
    <m/>
    <x v="0"/>
    <n v="13040.65"/>
    <x v="0"/>
    <n v="0"/>
  </r>
  <r>
    <x v="1434"/>
    <x v="9"/>
    <m/>
    <s v="CO-18"/>
    <m/>
    <x v="4"/>
    <n v="608.79999999999995"/>
    <x v="2"/>
    <n v="28"/>
  </r>
  <r>
    <x v="1435"/>
    <x v="9"/>
    <m/>
    <s v="CO-109"/>
    <m/>
    <x v="1"/>
    <n v="13526.08"/>
    <x v="0"/>
    <n v="12"/>
  </r>
  <r>
    <x v="1436"/>
    <x v="3"/>
    <m/>
    <s v="CO-97"/>
    <m/>
    <x v="4"/>
    <n v="14787.18"/>
    <x v="1"/>
    <n v="25"/>
  </r>
  <r>
    <x v="1437"/>
    <x v="1"/>
    <m/>
    <s v="CO-96"/>
    <m/>
    <x v="5"/>
    <n v="1511"/>
    <x v="1"/>
    <n v="45"/>
  </r>
  <r>
    <x v="1438"/>
    <x v="3"/>
    <m/>
    <s v="CO-18"/>
    <m/>
    <x v="4"/>
    <n v="7476.13"/>
    <x v="3"/>
    <n v="43"/>
  </r>
  <r>
    <x v="1439"/>
    <x v="1"/>
    <m/>
    <s v="CO-197"/>
    <m/>
    <x v="3"/>
    <n v="9241.68"/>
    <x v="1"/>
    <n v="28"/>
  </r>
  <r>
    <x v="1440"/>
    <x v="7"/>
    <m/>
    <s v="CO-45"/>
    <m/>
    <x v="6"/>
    <n v="9549.89"/>
    <x v="4"/>
    <n v="5"/>
  </r>
  <r>
    <x v="1441"/>
    <x v="1"/>
    <m/>
    <s v="CO-16"/>
    <m/>
    <x v="2"/>
    <n v="4345.97"/>
    <x v="0"/>
    <n v="10"/>
  </r>
  <r>
    <x v="1442"/>
    <x v="9"/>
    <m/>
    <s v="CO-96"/>
    <m/>
    <x v="5"/>
    <n v="11156.18"/>
    <x v="0"/>
    <n v="0"/>
  </r>
  <r>
    <x v="1443"/>
    <x v="8"/>
    <m/>
    <s v="CO-18"/>
    <m/>
    <x v="4"/>
    <n v="4136.8100000000004"/>
    <x v="2"/>
    <n v="34"/>
  </r>
  <r>
    <x v="1444"/>
    <x v="5"/>
    <m/>
    <s v="CO-29"/>
    <m/>
    <x v="7"/>
    <n v="3185.6"/>
    <x v="3"/>
    <n v="42"/>
  </r>
  <r>
    <x v="1445"/>
    <x v="3"/>
    <m/>
    <s v="CO-109"/>
    <m/>
    <x v="1"/>
    <n v="12071.69"/>
    <x v="1"/>
    <n v="35"/>
  </r>
  <r>
    <x v="1446"/>
    <x v="7"/>
    <m/>
    <s v="CO-16"/>
    <m/>
    <x v="2"/>
    <n v="6244"/>
    <x v="0"/>
    <n v="9"/>
  </r>
  <r>
    <x v="1447"/>
    <x v="6"/>
    <m/>
    <s v="CO-197"/>
    <m/>
    <x v="3"/>
    <n v="13219.4"/>
    <x v="2"/>
    <n v="34"/>
  </r>
  <r>
    <x v="1448"/>
    <x v="8"/>
    <m/>
    <s v="CO-96"/>
    <m/>
    <x v="5"/>
    <n v="7513.09"/>
    <x v="2"/>
    <n v="53"/>
  </r>
  <r>
    <x v="1449"/>
    <x v="4"/>
    <m/>
    <s v="CO-4"/>
    <m/>
    <x v="2"/>
    <n v="14060.59"/>
    <x v="1"/>
    <n v="40"/>
  </r>
  <r>
    <x v="1450"/>
    <x v="8"/>
    <m/>
    <s v="CO-96"/>
    <m/>
    <x v="5"/>
    <n v="10912.9"/>
    <x v="0"/>
    <n v="0"/>
  </r>
  <r>
    <x v="1451"/>
    <x v="5"/>
    <m/>
    <s v="CO-197"/>
    <m/>
    <x v="3"/>
    <n v="3643.59"/>
    <x v="3"/>
    <n v="49"/>
  </r>
  <r>
    <x v="1452"/>
    <x v="0"/>
    <m/>
    <s v="CO-29"/>
    <m/>
    <x v="7"/>
    <n v="6183.39"/>
    <x v="3"/>
    <n v="59"/>
  </r>
  <r>
    <x v="1453"/>
    <x v="5"/>
    <m/>
    <s v="CO-16"/>
    <m/>
    <x v="2"/>
    <n v="12697.21"/>
    <x v="0"/>
    <n v="0"/>
  </r>
  <r>
    <x v="1454"/>
    <x v="2"/>
    <m/>
    <s v="CO-96"/>
    <m/>
    <x v="5"/>
    <n v="3580.14"/>
    <x v="0"/>
    <n v="0"/>
  </r>
  <r>
    <x v="1455"/>
    <x v="7"/>
    <m/>
    <s v="CO-16"/>
    <m/>
    <x v="2"/>
    <n v="11965.82"/>
    <x v="1"/>
    <n v="32"/>
  </r>
  <r>
    <x v="1456"/>
    <x v="6"/>
    <m/>
    <s v="CO-29"/>
    <m/>
    <x v="7"/>
    <n v="6359.19"/>
    <x v="4"/>
    <n v="13"/>
  </r>
  <r>
    <x v="1457"/>
    <x v="7"/>
    <m/>
    <s v="CO-4"/>
    <m/>
    <x v="2"/>
    <n v="2089.64"/>
    <x v="0"/>
    <n v="0"/>
  </r>
  <r>
    <x v="1458"/>
    <x v="2"/>
    <m/>
    <s v="CO-197"/>
    <m/>
    <x v="3"/>
    <n v="9682.19"/>
    <x v="0"/>
    <n v="12"/>
  </r>
  <r>
    <x v="1459"/>
    <x v="0"/>
    <m/>
    <s v="CO-97"/>
    <m/>
    <x v="4"/>
    <n v="12900.78"/>
    <x v="0"/>
    <n v="0"/>
  </r>
  <r>
    <x v="1460"/>
    <x v="0"/>
    <m/>
    <s v="CO-29"/>
    <m/>
    <x v="7"/>
    <n v="13456.76"/>
    <x v="2"/>
    <n v="57"/>
  </r>
  <r>
    <x v="1461"/>
    <x v="1"/>
    <m/>
    <s v="CO-29"/>
    <m/>
    <x v="7"/>
    <n v="14150.27"/>
    <x v="3"/>
    <n v="9"/>
  </r>
  <r>
    <x v="1462"/>
    <x v="7"/>
    <m/>
    <s v="CO-50"/>
    <m/>
    <x v="0"/>
    <n v="8586.0499999999993"/>
    <x v="1"/>
    <n v="8"/>
  </r>
  <r>
    <x v="1463"/>
    <x v="8"/>
    <m/>
    <s v="CO-96"/>
    <m/>
    <x v="5"/>
    <n v="14247.63"/>
    <x v="4"/>
    <n v="17"/>
  </r>
  <r>
    <x v="1464"/>
    <x v="3"/>
    <m/>
    <s v="CO-50"/>
    <m/>
    <x v="0"/>
    <n v="3609.25"/>
    <x v="0"/>
    <n v="0"/>
  </r>
  <r>
    <x v="1465"/>
    <x v="1"/>
    <m/>
    <s v="CO-96"/>
    <m/>
    <x v="5"/>
    <n v="11071.68"/>
    <x v="3"/>
    <n v="48"/>
  </r>
  <r>
    <x v="1466"/>
    <x v="8"/>
    <m/>
    <s v="CO-29"/>
    <m/>
    <x v="7"/>
    <n v="3309.23"/>
    <x v="0"/>
    <n v="0"/>
  </r>
  <r>
    <x v="1467"/>
    <x v="7"/>
    <m/>
    <s v="CO-29"/>
    <m/>
    <x v="7"/>
    <n v="3851.87"/>
    <x v="2"/>
    <n v="32"/>
  </r>
  <r>
    <x v="1468"/>
    <x v="8"/>
    <m/>
    <s v="CO-18"/>
    <m/>
    <x v="4"/>
    <n v="10509.29"/>
    <x v="0"/>
    <n v="9"/>
  </r>
  <r>
    <x v="1469"/>
    <x v="6"/>
    <m/>
    <s v="CO-16"/>
    <m/>
    <x v="2"/>
    <n v="14451.56"/>
    <x v="3"/>
    <n v="60"/>
  </r>
  <r>
    <x v="1470"/>
    <x v="2"/>
    <m/>
    <s v="CO-18"/>
    <m/>
    <x v="4"/>
    <n v="7154.57"/>
    <x v="1"/>
    <n v="20"/>
  </r>
  <r>
    <x v="1471"/>
    <x v="2"/>
    <m/>
    <s v="CO-96"/>
    <m/>
    <x v="5"/>
    <n v="570.4"/>
    <x v="3"/>
    <n v="52"/>
  </r>
  <r>
    <x v="1472"/>
    <x v="3"/>
    <m/>
    <s v="CO-16"/>
    <m/>
    <x v="2"/>
    <n v="3832.09"/>
    <x v="1"/>
    <n v="41"/>
  </r>
  <r>
    <x v="1473"/>
    <x v="2"/>
    <m/>
    <s v="CO-50"/>
    <m/>
    <x v="0"/>
    <n v="8046.91"/>
    <x v="0"/>
    <n v="8"/>
  </r>
  <r>
    <x v="1474"/>
    <x v="0"/>
    <m/>
    <s v="CO-29"/>
    <m/>
    <x v="7"/>
    <n v="13916.24"/>
    <x v="4"/>
    <n v="20"/>
  </r>
  <r>
    <x v="1475"/>
    <x v="8"/>
    <m/>
    <s v="CO-16"/>
    <m/>
    <x v="2"/>
    <n v="4496.47"/>
    <x v="3"/>
    <n v="11"/>
  </r>
  <r>
    <x v="1476"/>
    <x v="2"/>
    <m/>
    <s v="CO-18"/>
    <m/>
    <x v="4"/>
    <n v="13198.04"/>
    <x v="3"/>
    <n v="27"/>
  </r>
  <r>
    <x v="1477"/>
    <x v="8"/>
    <m/>
    <s v="CO-4"/>
    <m/>
    <x v="2"/>
    <n v="13003.35"/>
    <x v="3"/>
    <n v="32"/>
  </r>
  <r>
    <x v="1478"/>
    <x v="0"/>
    <m/>
    <s v="CO-29"/>
    <m/>
    <x v="7"/>
    <n v="13901.13"/>
    <x v="1"/>
    <n v="28"/>
  </r>
  <r>
    <x v="1479"/>
    <x v="4"/>
    <m/>
    <s v="CO-197"/>
    <m/>
    <x v="3"/>
    <n v="10492.31"/>
    <x v="1"/>
    <n v="23"/>
  </r>
  <r>
    <x v="1480"/>
    <x v="8"/>
    <m/>
    <s v="CO-96"/>
    <m/>
    <x v="5"/>
    <n v="10952.01"/>
    <x v="1"/>
    <n v="21"/>
  </r>
  <r>
    <x v="1481"/>
    <x v="8"/>
    <m/>
    <s v="CO-97"/>
    <m/>
    <x v="4"/>
    <n v="11441.53"/>
    <x v="2"/>
    <n v="12"/>
  </r>
  <r>
    <x v="1482"/>
    <x v="9"/>
    <m/>
    <s v="CO-197"/>
    <m/>
    <x v="3"/>
    <n v="95.98"/>
    <x v="0"/>
    <n v="0"/>
  </r>
  <r>
    <x v="1483"/>
    <x v="9"/>
    <m/>
    <s v="CO-50"/>
    <m/>
    <x v="0"/>
    <n v="1706.88"/>
    <x v="0"/>
    <n v="0"/>
  </r>
  <r>
    <x v="1484"/>
    <x v="6"/>
    <m/>
    <s v="CO-29"/>
    <m/>
    <x v="7"/>
    <n v="11900"/>
    <x v="1"/>
    <n v="31"/>
  </r>
  <r>
    <x v="1485"/>
    <x v="5"/>
    <m/>
    <s v="CO-4"/>
    <m/>
    <x v="2"/>
    <n v="2643.51"/>
    <x v="2"/>
    <n v="21"/>
  </r>
  <r>
    <x v="1486"/>
    <x v="4"/>
    <m/>
    <s v="CO-16"/>
    <m/>
    <x v="2"/>
    <n v="1311.76"/>
    <x v="1"/>
    <n v="26"/>
  </r>
  <r>
    <x v="1487"/>
    <x v="7"/>
    <m/>
    <s v="CO-96"/>
    <m/>
    <x v="5"/>
    <n v="3406.08"/>
    <x v="4"/>
    <n v="60"/>
  </r>
  <r>
    <x v="1488"/>
    <x v="1"/>
    <m/>
    <s v="CO-96"/>
    <m/>
    <x v="5"/>
    <n v="9418.08"/>
    <x v="4"/>
    <n v="30"/>
  </r>
  <r>
    <x v="1489"/>
    <x v="9"/>
    <m/>
    <s v="CO-4"/>
    <m/>
    <x v="2"/>
    <n v="10533.85"/>
    <x v="0"/>
    <n v="7"/>
  </r>
  <r>
    <x v="1490"/>
    <x v="9"/>
    <m/>
    <s v="CO-4"/>
    <m/>
    <x v="2"/>
    <n v="2281.31"/>
    <x v="4"/>
    <n v="11"/>
  </r>
  <r>
    <x v="1491"/>
    <x v="8"/>
    <m/>
    <s v="CO-50"/>
    <m/>
    <x v="0"/>
    <n v="261.02"/>
    <x v="1"/>
    <n v="50"/>
  </r>
  <r>
    <x v="1492"/>
    <x v="5"/>
    <m/>
    <s v="CO-45"/>
    <m/>
    <x v="6"/>
    <n v="1821.76"/>
    <x v="2"/>
    <n v="13"/>
  </r>
  <r>
    <x v="1493"/>
    <x v="1"/>
    <m/>
    <s v="CO-4"/>
    <m/>
    <x v="2"/>
    <n v="11209.32"/>
    <x v="1"/>
    <n v="28"/>
  </r>
  <r>
    <x v="1494"/>
    <x v="1"/>
    <m/>
    <s v="CO-96"/>
    <m/>
    <x v="5"/>
    <n v="3272.72"/>
    <x v="3"/>
    <n v="47"/>
  </r>
  <r>
    <x v="1495"/>
    <x v="5"/>
    <m/>
    <s v="CO-29"/>
    <m/>
    <x v="7"/>
    <n v="2746.53"/>
    <x v="3"/>
    <n v="2"/>
  </r>
  <r>
    <x v="1496"/>
    <x v="3"/>
    <m/>
    <s v="CO-4"/>
    <m/>
    <x v="2"/>
    <n v="3570.51"/>
    <x v="1"/>
    <n v="16"/>
  </r>
  <r>
    <x v="1497"/>
    <x v="8"/>
    <m/>
    <s v="CO-96"/>
    <m/>
    <x v="5"/>
    <n v="10279.790000000001"/>
    <x v="1"/>
    <n v="1"/>
  </r>
  <r>
    <x v="1498"/>
    <x v="1"/>
    <m/>
    <s v="CO-197"/>
    <m/>
    <x v="3"/>
    <n v="13078.08"/>
    <x v="4"/>
    <n v="26"/>
  </r>
  <r>
    <x v="1499"/>
    <x v="0"/>
    <m/>
    <s v="CO-29"/>
    <m/>
    <x v="7"/>
    <n v="10641.37"/>
    <x v="3"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463BB2-C22E-41FC-ABB0-527ECB840B3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nial Reason">
  <location ref="H16:I25" firstHeaderRow="1" firstDataRow="1" firstDataCol="1"/>
  <pivotFields count="9">
    <pivotField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showAll="0">
      <items count="11">
        <item x="2"/>
        <item x="9"/>
        <item x="0"/>
        <item x="6"/>
        <item x="5"/>
        <item x="4"/>
        <item x="3"/>
        <item x="7"/>
        <item x="8"/>
        <item x="1"/>
        <item t="default"/>
      </items>
    </pivotField>
    <pivotField showAll="0"/>
    <pivotField showAll="0"/>
    <pivotField showAll="0"/>
    <pivotField axis="axisRow" showAll="0" sortType="descending">
      <items count="9">
        <item x="2"/>
        <item x="6"/>
        <item x="4"/>
        <item x="0"/>
        <item x="5"/>
        <item x="3"/>
        <item x="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" showAll="0"/>
    <pivotField showAll="0"/>
    <pivotField showAll="0"/>
  </pivotFields>
  <rowFields count="1">
    <field x="5"/>
  </rowFields>
  <rowItems count="9">
    <i>
      <x v="2"/>
    </i>
    <i>
      <x v="5"/>
    </i>
    <i>
      <x v="6"/>
    </i>
    <i>
      <x v="1"/>
    </i>
    <i>
      <x v="3"/>
    </i>
    <i>
      <x v="4"/>
    </i>
    <i>
      <x/>
    </i>
    <i>
      <x v="7"/>
    </i>
    <i t="grand">
      <x/>
    </i>
  </rowItems>
  <colItems count="1">
    <i/>
  </colItems>
  <dataFields count="1">
    <dataField name="Average of Denied_Amount" fld="6" subtotal="average" baseField="5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88789-A7A5-4C74-83F0-CE7404B2276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nial Reason">
  <location ref="E16:F25" firstHeaderRow="1" firstDataRow="1" firstDataCol="1"/>
  <pivotFields count="9">
    <pivotField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showAll="0">
      <items count="11">
        <item x="2"/>
        <item x="9"/>
        <item x="0"/>
        <item x="6"/>
        <item x="5"/>
        <item x="4"/>
        <item x="3"/>
        <item x="7"/>
        <item x="8"/>
        <item x="1"/>
        <item t="default"/>
      </items>
    </pivotField>
    <pivotField showAll="0"/>
    <pivotField showAll="0"/>
    <pivotField showAll="0"/>
    <pivotField axis="axisRow" showAll="0" sortType="descending">
      <items count="9">
        <item x="2"/>
        <item x="6"/>
        <item x="4"/>
        <item x="0"/>
        <item x="5"/>
        <item x="3"/>
        <item x="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" showAll="0"/>
    <pivotField showAll="0"/>
    <pivotField showAll="0"/>
  </pivotFields>
  <rowFields count="1">
    <field x="5"/>
  </rowFields>
  <rowItems count="9">
    <i>
      <x/>
    </i>
    <i>
      <x v="2"/>
    </i>
    <i>
      <x v="1"/>
    </i>
    <i>
      <x v="7"/>
    </i>
    <i>
      <x v="4"/>
    </i>
    <i>
      <x v="3"/>
    </i>
    <i>
      <x v="5"/>
    </i>
    <i>
      <x v="6"/>
    </i>
    <i t="grand">
      <x/>
    </i>
  </rowItems>
  <colItems count="1">
    <i/>
  </colItems>
  <dataFields count="1">
    <dataField name="Sum of Denied_Amount" fld="6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CD390-56AC-41AC-8013-5AE9AE6FB72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nial Reason">
  <location ref="K1:L10" firstHeaderRow="1" firstDataRow="1" firstDataCol="1"/>
  <pivotFields count="9">
    <pivotField dataField="1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showAll="0">
      <items count="11">
        <item x="2"/>
        <item x="9"/>
        <item x="0"/>
        <item x="6"/>
        <item x="5"/>
        <item x="4"/>
        <item x="3"/>
        <item x="7"/>
        <item x="8"/>
        <item x="1"/>
        <item t="default"/>
      </items>
    </pivotField>
    <pivotField showAll="0"/>
    <pivotField showAll="0"/>
    <pivotField showAll="0"/>
    <pivotField axis="axisRow" showAll="0" sortType="descending">
      <items count="9">
        <item x="2"/>
        <item x="6"/>
        <item x="4"/>
        <item x="0"/>
        <item x="5"/>
        <item x="3"/>
        <item x="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showAll="0"/>
    <pivotField showAll="0"/>
  </pivotFields>
  <rowFields count="1">
    <field x="5"/>
  </rowFields>
  <rowItems count="9">
    <i>
      <x/>
    </i>
    <i>
      <x v="2"/>
    </i>
    <i>
      <x v="1"/>
    </i>
    <i>
      <x v="7"/>
    </i>
    <i>
      <x v="4"/>
    </i>
    <i>
      <x v="3"/>
    </i>
    <i>
      <x v="5"/>
    </i>
    <i>
      <x v="6"/>
    </i>
    <i t="grand">
      <x/>
    </i>
  </rowItems>
  <colItems count="1">
    <i/>
  </colItems>
  <dataFields count="1">
    <dataField name="Count of Claim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CCBB80-F314-4976-9945-1DF0419B3D9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8:H34" firstHeaderRow="0" firstDataRow="1" firstDataCol="1"/>
  <pivotFields count="9">
    <pivotField dataField="1" showAll="0"/>
    <pivotField showAll="0"/>
    <pivotField showAll="0"/>
    <pivotField showAll="0"/>
    <pivotField showAll="0"/>
    <pivotField showAll="0"/>
    <pivotField dataField="1" numFmtId="4" showAll="0"/>
    <pivotField axis="axisRow" showAll="0" sortType="descending">
      <items count="6">
        <item x="1"/>
        <item x="3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7"/>
  </rowFields>
  <rowItems count="6">
    <i>
      <x v="3"/>
    </i>
    <i>
      <x v="1"/>
    </i>
    <i>
      <x v="4"/>
    </i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Days_To_Appeal" fld="8" subtotal="average" baseField="7" baseItem="0"/>
    <dataField name="Count of Claim_ID" fld="0" subtotal="count" baseField="0" baseItem="0"/>
    <dataField name="Sum of Denied_Amount" fld="6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A63A7-2655-4240-9233-A3F3A7E3251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6:L32" firstHeaderRow="1" firstDataRow="1" firstDataCol="1"/>
  <pivotFields count="9">
    <pivotField showAll="0"/>
    <pivotField showAll="0"/>
    <pivotField showAll="0"/>
    <pivotField showAll="0"/>
    <pivotField showAll="0"/>
    <pivotField showAll="0"/>
    <pivotField numFmtId="4" showAll="0"/>
    <pivotField axis="axisRow" showAll="0" sortType="descending">
      <items count="6">
        <item x="1"/>
        <item x="3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7"/>
  </rowFields>
  <rowItems count="6">
    <i>
      <x v="3"/>
    </i>
    <i>
      <x v="1"/>
    </i>
    <i>
      <x v="4"/>
    </i>
    <i>
      <x/>
    </i>
    <i>
      <x v="2"/>
    </i>
    <i t="grand">
      <x/>
    </i>
  </rowItems>
  <colItems count="1">
    <i/>
  </colItems>
  <dataFields count="1">
    <dataField name="Average of Days_To_Appeal" fld="8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DD3943-F271-45C9-A692-8D012158C09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er">
  <location ref="H1:I12" firstHeaderRow="1" firstDataRow="1" firstDataCol="1"/>
  <pivotFields count="9">
    <pivotField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axis="axisRow" showAll="0" sortType="descending">
      <items count="11">
        <item x="2"/>
        <item x="9"/>
        <item x="0"/>
        <item x="6"/>
        <item x="5"/>
        <item x="4"/>
        <item x="3"/>
        <item x="7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4" showAll="0"/>
    <pivotField showAll="0"/>
    <pivotField showAll="0"/>
  </pivotFields>
  <rowFields count="1">
    <field x="1"/>
  </rowFields>
  <rowItems count="11">
    <i>
      <x v="8"/>
    </i>
    <i>
      <x v="7"/>
    </i>
    <i>
      <x v="1"/>
    </i>
    <i>
      <x v="5"/>
    </i>
    <i>
      <x v="2"/>
    </i>
    <i>
      <x v="3"/>
    </i>
    <i>
      <x v="6"/>
    </i>
    <i>
      <x v="4"/>
    </i>
    <i>
      <x/>
    </i>
    <i>
      <x v="9"/>
    </i>
    <i t="grand">
      <x/>
    </i>
  </rowItems>
  <colItems count="1">
    <i/>
  </colItems>
  <dataFields count="1">
    <dataField name="Sum of Denied_Amount" fld="6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C19418-C5FD-4BD8-9BC7-D51802993CF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6:L22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numFmtId="4" showAll="0"/>
    <pivotField axis="axisRow" showAll="0" sortType="descending">
      <items count="6">
        <item x="1"/>
        <item x="3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7"/>
  </rowFields>
  <rowItems count="6">
    <i>
      <x/>
    </i>
    <i>
      <x v="2"/>
    </i>
    <i>
      <x v="4"/>
    </i>
    <i>
      <x v="1"/>
    </i>
    <i>
      <x v="3"/>
    </i>
    <i t="grand">
      <x/>
    </i>
  </rowItems>
  <colItems count="1">
    <i/>
  </colItems>
  <dataFields count="1">
    <dataField name="Count of Claim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82608-4C2C-4168-BD41-986EA2F5EF0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er">
  <location ref="E1:F12" firstHeaderRow="1" firstDataRow="1" firstDataCol="1"/>
  <pivotFields count="9">
    <pivotField dataField="1"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axis="axisRow" showAll="0" sortType="descending">
      <items count="11">
        <item x="2"/>
        <item x="9"/>
        <item x="0"/>
        <item x="6"/>
        <item x="5"/>
        <item x="4"/>
        <item x="3"/>
        <item x="7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4" showAll="0"/>
    <pivotField showAll="0"/>
    <pivotField showAll="0"/>
  </pivotFields>
  <rowFields count="1">
    <field x="1"/>
  </rowFields>
  <rowItems count="11">
    <i>
      <x v="8"/>
    </i>
    <i>
      <x v="3"/>
    </i>
    <i>
      <x v="1"/>
    </i>
    <i>
      <x v="7"/>
    </i>
    <i>
      <x v="2"/>
    </i>
    <i>
      <x v="6"/>
    </i>
    <i>
      <x v="4"/>
    </i>
    <i>
      <x v="5"/>
    </i>
    <i>
      <x/>
    </i>
    <i>
      <x v="9"/>
    </i>
    <i t="grand">
      <x/>
    </i>
  </rowItems>
  <colItems count="1">
    <i/>
  </colItems>
  <dataFields count="1">
    <dataField name="Count of Claim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501"/>
  <sheetViews>
    <sheetView tabSelected="1" workbookViewId="0">
      <pane ySplit="1" topLeftCell="A12" activePane="bottomLeft" state="frozen"/>
      <selection pane="bottomLeft" activeCell="D1" sqref="D1"/>
    </sheetView>
  </sheetViews>
  <sheetFormatPr defaultRowHeight="14.4" x14ac:dyDescent="0.3"/>
  <cols>
    <col min="1" max="1" width="14" customWidth="1"/>
    <col min="2" max="3" width="20" customWidth="1"/>
    <col min="4" max="5" width="15" customWidth="1"/>
    <col min="6" max="6" width="24" customWidth="1"/>
    <col min="7" max="9" width="18" customWidth="1"/>
  </cols>
  <sheetData>
    <row r="1" spans="1:9" x14ac:dyDescent="0.3">
      <c r="A1" s="1" t="s">
        <v>0</v>
      </c>
      <c r="B1" s="1" t="s">
        <v>1</v>
      </c>
      <c r="C1" s="1" t="s">
        <v>1554</v>
      </c>
      <c r="D1" s="1" t="s">
        <v>2</v>
      </c>
      <c r="E1" s="1" t="s">
        <v>1555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idden="1" x14ac:dyDescent="0.3">
      <c r="A2" t="s">
        <v>7</v>
      </c>
      <c r="B2" t="s">
        <v>8</v>
      </c>
      <c r="C2" t="str" cm="1">
        <f t="array" ref="C2:C11">_xlfn.UNIQUE(B2:B1501)</f>
        <v>BCBS</v>
      </c>
      <c r="D2" t="s">
        <v>9</v>
      </c>
      <c r="E2" t="str" cm="1">
        <f t="array" ref="E2:E11">_xlfn.UNIQUE(D2:D1501)</f>
        <v>CO-50</v>
      </c>
      <c r="F2" t="s">
        <v>10</v>
      </c>
      <c r="G2" s="2">
        <v>423.91</v>
      </c>
      <c r="H2" t="s">
        <v>11</v>
      </c>
      <c r="I2">
        <v>0</v>
      </c>
    </row>
    <row r="3" spans="1:9" hidden="1" x14ac:dyDescent="0.3">
      <c r="A3" t="s">
        <v>12</v>
      </c>
      <c r="B3" t="s">
        <v>8</v>
      </c>
      <c r="C3" t="str">
        <v>UnitedHealthcare</v>
      </c>
      <c r="D3" t="s">
        <v>13</v>
      </c>
      <c r="E3" t="str">
        <v>CO-109</v>
      </c>
      <c r="F3" t="s">
        <v>14</v>
      </c>
      <c r="G3" s="2">
        <v>1349.74</v>
      </c>
      <c r="H3" t="s">
        <v>15</v>
      </c>
      <c r="I3">
        <v>2</v>
      </c>
    </row>
    <row r="4" spans="1:9" hidden="1" x14ac:dyDescent="0.3">
      <c r="A4" t="s">
        <v>16</v>
      </c>
      <c r="B4" t="s">
        <v>17</v>
      </c>
      <c r="C4" t="str">
        <v>Aetna</v>
      </c>
      <c r="D4" t="s">
        <v>18</v>
      </c>
      <c r="E4" t="str">
        <v>CO-16</v>
      </c>
      <c r="F4" t="s">
        <v>19</v>
      </c>
      <c r="G4" s="2">
        <v>3528.28</v>
      </c>
      <c r="H4" t="s">
        <v>20</v>
      </c>
      <c r="I4">
        <v>36</v>
      </c>
    </row>
    <row r="5" spans="1:9" hidden="1" x14ac:dyDescent="0.3">
      <c r="A5" t="s">
        <v>21</v>
      </c>
      <c r="B5" t="s">
        <v>22</v>
      </c>
      <c r="C5" t="str">
        <v>Medicare</v>
      </c>
      <c r="D5" t="s">
        <v>13</v>
      </c>
      <c r="E5" t="str">
        <v>CO-197</v>
      </c>
      <c r="F5" t="s">
        <v>14</v>
      </c>
      <c r="G5" s="2">
        <v>6321.82</v>
      </c>
      <c r="H5" t="s">
        <v>15</v>
      </c>
      <c r="I5">
        <v>18</v>
      </c>
    </row>
    <row r="6" spans="1:9" hidden="1" x14ac:dyDescent="0.3">
      <c r="A6" t="s">
        <v>23</v>
      </c>
      <c r="B6" t="s">
        <v>17</v>
      </c>
      <c r="C6" t="str">
        <v>Medicaid</v>
      </c>
      <c r="D6" t="s">
        <v>24</v>
      </c>
      <c r="E6" t="str">
        <v>CO-18</v>
      </c>
      <c r="F6" t="s">
        <v>25</v>
      </c>
      <c r="G6" s="2">
        <v>10487.18</v>
      </c>
      <c r="H6" t="s">
        <v>15</v>
      </c>
      <c r="I6">
        <v>10</v>
      </c>
    </row>
    <row r="7" spans="1:9" hidden="1" x14ac:dyDescent="0.3">
      <c r="A7" t="s">
        <v>26</v>
      </c>
      <c r="B7" t="s">
        <v>27</v>
      </c>
      <c r="C7" t="str">
        <v>Humana</v>
      </c>
      <c r="D7" t="s">
        <v>28</v>
      </c>
      <c r="E7" t="str">
        <v>CO-96</v>
      </c>
      <c r="F7" t="s">
        <v>29</v>
      </c>
      <c r="G7" s="2">
        <v>1578.04</v>
      </c>
      <c r="H7" t="s">
        <v>15</v>
      </c>
      <c r="I7">
        <v>23</v>
      </c>
    </row>
    <row r="8" spans="1:9" hidden="1" x14ac:dyDescent="0.3">
      <c r="A8" t="s">
        <v>30</v>
      </c>
      <c r="B8" t="s">
        <v>31</v>
      </c>
      <c r="C8" t="str">
        <v>Cigna</v>
      </c>
      <c r="D8" t="s">
        <v>32</v>
      </c>
      <c r="E8" t="str">
        <v>CO-45</v>
      </c>
      <c r="F8" t="s">
        <v>33</v>
      </c>
      <c r="G8" s="2">
        <v>4004.59</v>
      </c>
      <c r="H8" t="s">
        <v>11</v>
      </c>
      <c r="I8">
        <v>0</v>
      </c>
    </row>
    <row r="9" spans="1:9" hidden="1" x14ac:dyDescent="0.3">
      <c r="A9" t="s">
        <v>34</v>
      </c>
      <c r="B9" t="s">
        <v>27</v>
      </c>
      <c r="C9" t="str">
        <v>Molina</v>
      </c>
      <c r="D9" t="s">
        <v>9</v>
      </c>
      <c r="E9" t="str">
        <v>CO-29</v>
      </c>
      <c r="F9" t="s">
        <v>10</v>
      </c>
      <c r="G9" s="2">
        <v>8303.01</v>
      </c>
      <c r="H9" t="s">
        <v>35</v>
      </c>
      <c r="I9">
        <v>40</v>
      </c>
    </row>
    <row r="10" spans="1:9" hidden="1" x14ac:dyDescent="0.3">
      <c r="A10" t="s">
        <v>36</v>
      </c>
      <c r="B10" t="s">
        <v>37</v>
      </c>
      <c r="C10" t="str">
        <v>Tricare</v>
      </c>
      <c r="D10" t="s">
        <v>32</v>
      </c>
      <c r="E10" t="str">
        <v>CO-4</v>
      </c>
      <c r="F10" t="s">
        <v>33</v>
      </c>
      <c r="G10" s="2">
        <v>2924.71</v>
      </c>
      <c r="H10" t="s">
        <v>11</v>
      </c>
      <c r="I10">
        <v>0</v>
      </c>
    </row>
    <row r="11" spans="1:9" hidden="1" x14ac:dyDescent="0.3">
      <c r="A11" t="s">
        <v>38</v>
      </c>
      <c r="B11" t="s">
        <v>37</v>
      </c>
      <c r="C11" t="str">
        <v>Anthem</v>
      </c>
      <c r="D11" t="s">
        <v>9</v>
      </c>
      <c r="E11" t="str">
        <v>CO-97</v>
      </c>
      <c r="F11" t="s">
        <v>10</v>
      </c>
      <c r="G11" s="2">
        <v>12837</v>
      </c>
      <c r="H11" t="s">
        <v>35</v>
      </c>
      <c r="I11">
        <v>25</v>
      </c>
    </row>
    <row r="12" spans="1:9" x14ac:dyDescent="0.3">
      <c r="A12" t="s">
        <v>39</v>
      </c>
      <c r="B12" t="s">
        <v>27</v>
      </c>
      <c r="D12" t="s">
        <v>40</v>
      </c>
      <c r="F12" t="s">
        <v>41</v>
      </c>
      <c r="G12" s="2">
        <v>9553.48</v>
      </c>
      <c r="H12" t="s">
        <v>15</v>
      </c>
      <c r="I12">
        <v>24</v>
      </c>
    </row>
    <row r="13" spans="1:9" hidden="1" x14ac:dyDescent="0.3">
      <c r="A13" t="s">
        <v>42</v>
      </c>
      <c r="B13" t="s">
        <v>8</v>
      </c>
      <c r="D13" t="s">
        <v>18</v>
      </c>
      <c r="F13" t="s">
        <v>19</v>
      </c>
      <c r="G13" s="2">
        <v>10069.120000000001</v>
      </c>
      <c r="H13" t="s">
        <v>20</v>
      </c>
      <c r="I13">
        <v>44</v>
      </c>
    </row>
    <row r="14" spans="1:9" hidden="1" x14ac:dyDescent="0.3">
      <c r="A14" t="s">
        <v>43</v>
      </c>
      <c r="B14" t="s">
        <v>44</v>
      </c>
      <c r="D14" t="s">
        <v>32</v>
      </c>
      <c r="F14" t="s">
        <v>33</v>
      </c>
      <c r="G14" s="2">
        <v>9542.93</v>
      </c>
      <c r="H14" t="s">
        <v>15</v>
      </c>
      <c r="I14">
        <v>16</v>
      </c>
    </row>
    <row r="15" spans="1:9" x14ac:dyDescent="0.3">
      <c r="A15" t="s">
        <v>45</v>
      </c>
      <c r="B15" t="s">
        <v>46</v>
      </c>
      <c r="D15" t="s">
        <v>40</v>
      </c>
      <c r="F15" t="s">
        <v>41</v>
      </c>
      <c r="G15" s="2">
        <v>5722.86</v>
      </c>
      <c r="H15" t="s">
        <v>47</v>
      </c>
      <c r="I15">
        <v>41</v>
      </c>
    </row>
    <row r="16" spans="1:9" hidden="1" x14ac:dyDescent="0.3">
      <c r="A16" t="s">
        <v>48</v>
      </c>
      <c r="B16" t="s">
        <v>22</v>
      </c>
      <c r="D16" t="s">
        <v>18</v>
      </c>
      <c r="F16" t="s">
        <v>19</v>
      </c>
      <c r="G16" s="2">
        <v>10284.98</v>
      </c>
      <c r="H16" t="s">
        <v>35</v>
      </c>
      <c r="I16">
        <v>50</v>
      </c>
    </row>
    <row r="17" spans="1:9" hidden="1" x14ac:dyDescent="0.3">
      <c r="A17" t="s">
        <v>49</v>
      </c>
      <c r="B17" t="s">
        <v>37</v>
      </c>
      <c r="D17" t="s">
        <v>18</v>
      </c>
      <c r="F17" t="s">
        <v>19</v>
      </c>
      <c r="G17" s="2">
        <v>12335.95</v>
      </c>
      <c r="H17" t="s">
        <v>35</v>
      </c>
      <c r="I17">
        <v>26</v>
      </c>
    </row>
    <row r="18" spans="1:9" hidden="1" x14ac:dyDescent="0.3">
      <c r="A18" t="s">
        <v>50</v>
      </c>
      <c r="B18" t="s">
        <v>27</v>
      </c>
      <c r="D18" t="s">
        <v>9</v>
      </c>
      <c r="F18" t="s">
        <v>10</v>
      </c>
      <c r="G18" s="2">
        <v>3204.19</v>
      </c>
      <c r="H18" t="s">
        <v>47</v>
      </c>
      <c r="I18">
        <v>57</v>
      </c>
    </row>
    <row r="19" spans="1:9" hidden="1" x14ac:dyDescent="0.3">
      <c r="A19" t="s">
        <v>51</v>
      </c>
      <c r="B19" t="s">
        <v>52</v>
      </c>
      <c r="D19" t="s">
        <v>18</v>
      </c>
      <c r="F19" t="s">
        <v>19</v>
      </c>
      <c r="G19" s="2">
        <v>9848.81</v>
      </c>
      <c r="H19" t="s">
        <v>15</v>
      </c>
      <c r="I19">
        <v>59</v>
      </c>
    </row>
    <row r="20" spans="1:9" hidden="1" x14ac:dyDescent="0.3">
      <c r="A20" t="s">
        <v>53</v>
      </c>
      <c r="B20" t="s">
        <v>54</v>
      </c>
      <c r="D20" t="s">
        <v>24</v>
      </c>
      <c r="F20" t="s">
        <v>25</v>
      </c>
      <c r="G20" s="2">
        <v>4009.96</v>
      </c>
      <c r="H20" t="s">
        <v>11</v>
      </c>
      <c r="I20">
        <v>0</v>
      </c>
    </row>
    <row r="21" spans="1:9" hidden="1" x14ac:dyDescent="0.3">
      <c r="A21" t="s">
        <v>55</v>
      </c>
      <c r="B21" t="s">
        <v>44</v>
      </c>
      <c r="D21" t="s">
        <v>56</v>
      </c>
      <c r="F21" t="s">
        <v>57</v>
      </c>
      <c r="G21" s="2">
        <v>13472.45</v>
      </c>
      <c r="H21" t="s">
        <v>15</v>
      </c>
      <c r="I21">
        <v>15</v>
      </c>
    </row>
    <row r="22" spans="1:9" hidden="1" x14ac:dyDescent="0.3">
      <c r="A22" t="s">
        <v>58</v>
      </c>
      <c r="B22" t="s">
        <v>8</v>
      </c>
      <c r="D22" t="s">
        <v>13</v>
      </c>
      <c r="F22" t="s">
        <v>14</v>
      </c>
      <c r="G22" s="2">
        <v>7428.06</v>
      </c>
      <c r="H22" t="s">
        <v>35</v>
      </c>
      <c r="I22">
        <v>56</v>
      </c>
    </row>
    <row r="23" spans="1:9" hidden="1" x14ac:dyDescent="0.3">
      <c r="A23" t="s">
        <v>59</v>
      </c>
      <c r="B23" t="s">
        <v>54</v>
      </c>
      <c r="D23" t="s">
        <v>24</v>
      </c>
      <c r="F23" t="s">
        <v>25</v>
      </c>
      <c r="G23" s="2">
        <v>9430.32</v>
      </c>
      <c r="H23" t="s">
        <v>35</v>
      </c>
      <c r="I23">
        <v>28</v>
      </c>
    </row>
    <row r="24" spans="1:9" hidden="1" x14ac:dyDescent="0.3">
      <c r="A24" t="s">
        <v>60</v>
      </c>
      <c r="B24" t="s">
        <v>46</v>
      </c>
      <c r="D24" t="s">
        <v>9</v>
      </c>
      <c r="F24" t="s">
        <v>10</v>
      </c>
      <c r="G24" s="2">
        <v>5802.27</v>
      </c>
      <c r="H24" t="s">
        <v>20</v>
      </c>
      <c r="I24">
        <v>30</v>
      </c>
    </row>
    <row r="25" spans="1:9" hidden="1" x14ac:dyDescent="0.3">
      <c r="A25" t="s">
        <v>61</v>
      </c>
      <c r="B25" t="s">
        <v>8</v>
      </c>
      <c r="D25" t="s">
        <v>62</v>
      </c>
      <c r="F25" t="s">
        <v>19</v>
      </c>
      <c r="G25" s="2">
        <v>14567.62</v>
      </c>
      <c r="H25" t="s">
        <v>35</v>
      </c>
      <c r="I25">
        <v>1</v>
      </c>
    </row>
    <row r="26" spans="1:9" hidden="1" x14ac:dyDescent="0.3">
      <c r="A26" t="s">
        <v>63</v>
      </c>
      <c r="B26" t="s">
        <v>8</v>
      </c>
      <c r="D26" t="s">
        <v>13</v>
      </c>
      <c r="F26" t="s">
        <v>14</v>
      </c>
      <c r="G26" s="2">
        <v>11275.62</v>
      </c>
      <c r="H26" t="s">
        <v>35</v>
      </c>
      <c r="I26">
        <v>22</v>
      </c>
    </row>
    <row r="27" spans="1:9" hidden="1" x14ac:dyDescent="0.3">
      <c r="A27" t="s">
        <v>64</v>
      </c>
      <c r="B27" t="s">
        <v>37</v>
      </c>
      <c r="D27" t="s">
        <v>62</v>
      </c>
      <c r="F27" t="s">
        <v>19</v>
      </c>
      <c r="G27" s="2">
        <v>6549.74</v>
      </c>
      <c r="H27" t="s">
        <v>15</v>
      </c>
      <c r="I27">
        <v>47</v>
      </c>
    </row>
    <row r="28" spans="1:9" hidden="1" x14ac:dyDescent="0.3">
      <c r="A28" t="s">
        <v>65</v>
      </c>
      <c r="B28" t="s">
        <v>37</v>
      </c>
      <c r="D28" t="s">
        <v>13</v>
      </c>
      <c r="F28" t="s">
        <v>14</v>
      </c>
      <c r="G28" s="2">
        <v>11441.33</v>
      </c>
      <c r="H28" t="s">
        <v>15</v>
      </c>
      <c r="I28">
        <v>7</v>
      </c>
    </row>
    <row r="29" spans="1:9" hidden="1" x14ac:dyDescent="0.3">
      <c r="A29" t="s">
        <v>66</v>
      </c>
      <c r="B29" t="s">
        <v>46</v>
      </c>
      <c r="D29" t="s">
        <v>13</v>
      </c>
      <c r="F29" t="s">
        <v>14</v>
      </c>
      <c r="G29" s="2">
        <v>9154.1</v>
      </c>
      <c r="H29" t="s">
        <v>11</v>
      </c>
      <c r="I29">
        <v>0</v>
      </c>
    </row>
    <row r="30" spans="1:9" hidden="1" x14ac:dyDescent="0.3">
      <c r="A30" t="s">
        <v>67</v>
      </c>
      <c r="B30" t="s">
        <v>22</v>
      </c>
      <c r="D30" t="s">
        <v>13</v>
      </c>
      <c r="F30" t="s">
        <v>14</v>
      </c>
      <c r="G30" s="2">
        <v>13781.48</v>
      </c>
      <c r="H30" t="s">
        <v>20</v>
      </c>
      <c r="I30">
        <v>32</v>
      </c>
    </row>
    <row r="31" spans="1:9" hidden="1" x14ac:dyDescent="0.3">
      <c r="A31" t="s">
        <v>68</v>
      </c>
      <c r="B31" t="s">
        <v>37</v>
      </c>
      <c r="D31" t="s">
        <v>9</v>
      </c>
      <c r="F31" t="s">
        <v>10</v>
      </c>
      <c r="G31" s="2">
        <v>13940.02</v>
      </c>
      <c r="H31" t="s">
        <v>35</v>
      </c>
      <c r="I31">
        <v>54</v>
      </c>
    </row>
    <row r="32" spans="1:9" hidden="1" x14ac:dyDescent="0.3">
      <c r="A32" t="s">
        <v>69</v>
      </c>
      <c r="B32" t="s">
        <v>8</v>
      </c>
      <c r="D32" t="s">
        <v>18</v>
      </c>
      <c r="F32" t="s">
        <v>19</v>
      </c>
      <c r="G32" s="2">
        <v>915.98</v>
      </c>
      <c r="H32" t="s">
        <v>35</v>
      </c>
      <c r="I32">
        <v>6</v>
      </c>
    </row>
    <row r="33" spans="1:9" x14ac:dyDescent="0.3">
      <c r="A33" t="s">
        <v>70</v>
      </c>
      <c r="B33" t="s">
        <v>44</v>
      </c>
      <c r="D33" t="s">
        <v>40</v>
      </c>
      <c r="F33" t="s">
        <v>41</v>
      </c>
      <c r="G33" s="2">
        <v>12249.55</v>
      </c>
      <c r="H33" t="s">
        <v>47</v>
      </c>
      <c r="I33">
        <v>35</v>
      </c>
    </row>
    <row r="34" spans="1:9" hidden="1" x14ac:dyDescent="0.3">
      <c r="A34" t="s">
        <v>71</v>
      </c>
      <c r="B34" t="s">
        <v>37</v>
      </c>
      <c r="D34" t="s">
        <v>24</v>
      </c>
      <c r="F34" t="s">
        <v>25</v>
      </c>
      <c r="G34" s="2">
        <v>9913.27</v>
      </c>
      <c r="H34" t="s">
        <v>47</v>
      </c>
      <c r="I34">
        <v>11</v>
      </c>
    </row>
    <row r="35" spans="1:9" hidden="1" x14ac:dyDescent="0.3">
      <c r="A35" t="s">
        <v>72</v>
      </c>
      <c r="B35" t="s">
        <v>46</v>
      </c>
      <c r="D35" t="s">
        <v>13</v>
      </c>
      <c r="F35" t="s">
        <v>14</v>
      </c>
      <c r="G35" s="2">
        <v>13092.87</v>
      </c>
      <c r="H35" t="s">
        <v>15</v>
      </c>
      <c r="I35">
        <v>14</v>
      </c>
    </row>
    <row r="36" spans="1:9" hidden="1" x14ac:dyDescent="0.3">
      <c r="A36" t="s">
        <v>73</v>
      </c>
      <c r="B36" t="s">
        <v>27</v>
      </c>
      <c r="D36" t="s">
        <v>18</v>
      </c>
      <c r="F36" t="s">
        <v>19</v>
      </c>
      <c r="G36" s="2">
        <v>10708.59</v>
      </c>
      <c r="H36" t="s">
        <v>15</v>
      </c>
      <c r="I36">
        <v>43</v>
      </c>
    </row>
    <row r="37" spans="1:9" x14ac:dyDescent="0.3">
      <c r="A37" t="s">
        <v>74</v>
      </c>
      <c r="B37" t="s">
        <v>17</v>
      </c>
      <c r="D37" t="s">
        <v>40</v>
      </c>
      <c r="F37" t="s">
        <v>41</v>
      </c>
      <c r="G37" s="2">
        <v>13499.23</v>
      </c>
      <c r="H37" t="s">
        <v>15</v>
      </c>
      <c r="I37">
        <v>16</v>
      </c>
    </row>
    <row r="38" spans="1:9" hidden="1" x14ac:dyDescent="0.3">
      <c r="A38" t="s">
        <v>75</v>
      </c>
      <c r="B38" t="s">
        <v>54</v>
      </c>
      <c r="D38" t="s">
        <v>9</v>
      </c>
      <c r="F38" t="s">
        <v>10</v>
      </c>
      <c r="G38" s="2">
        <v>5104.38</v>
      </c>
      <c r="H38" t="s">
        <v>20</v>
      </c>
      <c r="I38">
        <v>15</v>
      </c>
    </row>
    <row r="39" spans="1:9" hidden="1" x14ac:dyDescent="0.3">
      <c r="A39" t="s">
        <v>76</v>
      </c>
      <c r="B39" t="s">
        <v>17</v>
      </c>
      <c r="D39" t="s">
        <v>18</v>
      </c>
      <c r="F39" t="s">
        <v>19</v>
      </c>
      <c r="G39" s="2">
        <v>157.5</v>
      </c>
      <c r="H39" t="s">
        <v>20</v>
      </c>
      <c r="I39">
        <v>4</v>
      </c>
    </row>
    <row r="40" spans="1:9" hidden="1" x14ac:dyDescent="0.3">
      <c r="A40" t="s">
        <v>77</v>
      </c>
      <c r="B40" t="s">
        <v>46</v>
      </c>
      <c r="D40" t="s">
        <v>9</v>
      </c>
      <c r="F40" t="s">
        <v>10</v>
      </c>
      <c r="G40" s="2">
        <v>13586.03</v>
      </c>
      <c r="H40" t="s">
        <v>35</v>
      </c>
      <c r="I40">
        <v>5</v>
      </c>
    </row>
    <row r="41" spans="1:9" hidden="1" x14ac:dyDescent="0.3">
      <c r="A41" t="s">
        <v>78</v>
      </c>
      <c r="B41" t="s">
        <v>44</v>
      </c>
      <c r="D41" t="s">
        <v>18</v>
      </c>
      <c r="F41" t="s">
        <v>19</v>
      </c>
      <c r="G41" s="2">
        <v>4213.24</v>
      </c>
      <c r="H41" t="s">
        <v>15</v>
      </c>
      <c r="I41">
        <v>35</v>
      </c>
    </row>
    <row r="42" spans="1:9" hidden="1" x14ac:dyDescent="0.3">
      <c r="A42" t="s">
        <v>79</v>
      </c>
      <c r="B42" t="s">
        <v>17</v>
      </c>
      <c r="D42" t="s">
        <v>32</v>
      </c>
      <c r="F42" t="s">
        <v>33</v>
      </c>
      <c r="G42" s="2">
        <v>8664.36</v>
      </c>
      <c r="H42" t="s">
        <v>11</v>
      </c>
      <c r="I42">
        <v>8</v>
      </c>
    </row>
    <row r="43" spans="1:9" hidden="1" x14ac:dyDescent="0.3">
      <c r="A43" t="s">
        <v>80</v>
      </c>
      <c r="B43" t="s">
        <v>31</v>
      </c>
      <c r="D43" t="s">
        <v>9</v>
      </c>
      <c r="F43" t="s">
        <v>10</v>
      </c>
      <c r="G43" s="2">
        <v>1499.12</v>
      </c>
      <c r="H43" t="s">
        <v>15</v>
      </c>
      <c r="I43">
        <v>28</v>
      </c>
    </row>
    <row r="44" spans="1:9" x14ac:dyDescent="0.3">
      <c r="A44" t="s">
        <v>81</v>
      </c>
      <c r="B44" t="s">
        <v>22</v>
      </c>
      <c r="D44" t="s">
        <v>40</v>
      </c>
      <c r="F44" t="s">
        <v>41</v>
      </c>
      <c r="G44" s="2">
        <v>12964.36</v>
      </c>
      <c r="H44" t="s">
        <v>11</v>
      </c>
      <c r="I44">
        <v>0</v>
      </c>
    </row>
    <row r="45" spans="1:9" hidden="1" x14ac:dyDescent="0.3">
      <c r="A45" t="s">
        <v>82</v>
      </c>
      <c r="B45" t="s">
        <v>17</v>
      </c>
      <c r="D45" t="s">
        <v>56</v>
      </c>
      <c r="F45" t="s">
        <v>57</v>
      </c>
      <c r="G45" s="2">
        <v>10936.79</v>
      </c>
      <c r="H45" t="s">
        <v>35</v>
      </c>
      <c r="I45">
        <v>7</v>
      </c>
    </row>
    <row r="46" spans="1:9" hidden="1" x14ac:dyDescent="0.3">
      <c r="A46" t="s">
        <v>83</v>
      </c>
      <c r="B46" t="s">
        <v>44</v>
      </c>
      <c r="D46" t="s">
        <v>18</v>
      </c>
      <c r="F46" t="s">
        <v>19</v>
      </c>
      <c r="G46" s="2">
        <v>2893.62</v>
      </c>
      <c r="H46" t="s">
        <v>15</v>
      </c>
      <c r="I46">
        <v>28</v>
      </c>
    </row>
    <row r="47" spans="1:9" hidden="1" x14ac:dyDescent="0.3">
      <c r="A47" t="s">
        <v>84</v>
      </c>
      <c r="B47" t="s">
        <v>52</v>
      </c>
      <c r="D47" t="s">
        <v>62</v>
      </c>
      <c r="F47" t="s">
        <v>19</v>
      </c>
      <c r="G47" s="2">
        <v>6966.29</v>
      </c>
      <c r="H47" t="s">
        <v>35</v>
      </c>
      <c r="I47">
        <v>5</v>
      </c>
    </row>
    <row r="48" spans="1:9" hidden="1" x14ac:dyDescent="0.3">
      <c r="A48" t="s">
        <v>85</v>
      </c>
      <c r="B48" t="s">
        <v>22</v>
      </c>
      <c r="D48" t="s">
        <v>13</v>
      </c>
      <c r="F48" t="s">
        <v>14</v>
      </c>
      <c r="G48" s="2">
        <v>1513.74</v>
      </c>
      <c r="H48" t="s">
        <v>20</v>
      </c>
      <c r="I48">
        <v>35</v>
      </c>
    </row>
    <row r="49" spans="1:9" hidden="1" x14ac:dyDescent="0.3">
      <c r="A49" t="s">
        <v>86</v>
      </c>
      <c r="B49" t="s">
        <v>31</v>
      </c>
      <c r="D49" t="s">
        <v>9</v>
      </c>
      <c r="F49" t="s">
        <v>10</v>
      </c>
      <c r="G49" s="2">
        <v>13899.19</v>
      </c>
      <c r="H49" t="s">
        <v>35</v>
      </c>
      <c r="I49">
        <v>11</v>
      </c>
    </row>
    <row r="50" spans="1:9" x14ac:dyDescent="0.3">
      <c r="A50" t="s">
        <v>87</v>
      </c>
      <c r="B50" t="s">
        <v>22</v>
      </c>
      <c r="D50" t="s">
        <v>40</v>
      </c>
      <c r="F50" t="s">
        <v>41</v>
      </c>
      <c r="G50" s="2">
        <v>7246.31</v>
      </c>
      <c r="H50" t="s">
        <v>35</v>
      </c>
      <c r="I50">
        <v>58</v>
      </c>
    </row>
    <row r="51" spans="1:9" hidden="1" x14ac:dyDescent="0.3">
      <c r="A51" t="s">
        <v>88</v>
      </c>
      <c r="B51" t="s">
        <v>52</v>
      </c>
      <c r="D51" t="s">
        <v>24</v>
      </c>
      <c r="F51" t="s">
        <v>25</v>
      </c>
      <c r="G51" s="2">
        <v>5715.65</v>
      </c>
      <c r="H51" t="s">
        <v>47</v>
      </c>
      <c r="I51">
        <v>17</v>
      </c>
    </row>
    <row r="52" spans="1:9" hidden="1" x14ac:dyDescent="0.3">
      <c r="A52" t="s">
        <v>89</v>
      </c>
      <c r="B52" t="s">
        <v>46</v>
      </c>
      <c r="D52" t="s">
        <v>62</v>
      </c>
      <c r="F52" t="s">
        <v>19</v>
      </c>
      <c r="G52" s="2">
        <v>6373.96</v>
      </c>
      <c r="H52" t="s">
        <v>47</v>
      </c>
      <c r="I52">
        <v>51</v>
      </c>
    </row>
    <row r="53" spans="1:9" x14ac:dyDescent="0.3">
      <c r="A53" t="s">
        <v>90</v>
      </c>
      <c r="B53" t="s">
        <v>54</v>
      </c>
      <c r="D53" t="s">
        <v>40</v>
      </c>
      <c r="F53" t="s">
        <v>41</v>
      </c>
      <c r="G53" s="2">
        <v>2364.21</v>
      </c>
      <c r="H53" t="s">
        <v>15</v>
      </c>
      <c r="I53">
        <v>4</v>
      </c>
    </row>
    <row r="54" spans="1:9" hidden="1" x14ac:dyDescent="0.3">
      <c r="A54" t="s">
        <v>91</v>
      </c>
      <c r="B54" t="s">
        <v>54</v>
      </c>
      <c r="D54" t="s">
        <v>13</v>
      </c>
      <c r="F54" t="s">
        <v>14</v>
      </c>
      <c r="G54" s="2">
        <v>961.32</v>
      </c>
      <c r="H54" t="s">
        <v>15</v>
      </c>
      <c r="I54">
        <v>4</v>
      </c>
    </row>
    <row r="55" spans="1:9" x14ac:dyDescent="0.3">
      <c r="A55" t="s">
        <v>92</v>
      </c>
      <c r="B55" t="s">
        <v>22</v>
      </c>
      <c r="D55" t="s">
        <v>40</v>
      </c>
      <c r="F55" t="s">
        <v>41</v>
      </c>
      <c r="G55" s="2">
        <v>7567.61</v>
      </c>
      <c r="H55" t="s">
        <v>35</v>
      </c>
      <c r="I55">
        <v>11</v>
      </c>
    </row>
    <row r="56" spans="1:9" hidden="1" x14ac:dyDescent="0.3">
      <c r="A56" t="s">
        <v>93</v>
      </c>
      <c r="B56" t="s">
        <v>17</v>
      </c>
      <c r="D56" t="s">
        <v>13</v>
      </c>
      <c r="F56" t="s">
        <v>14</v>
      </c>
      <c r="G56" s="2">
        <v>1247.67</v>
      </c>
      <c r="H56" t="s">
        <v>11</v>
      </c>
      <c r="I56">
        <v>0</v>
      </c>
    </row>
    <row r="57" spans="1:9" hidden="1" x14ac:dyDescent="0.3">
      <c r="A57" t="s">
        <v>94</v>
      </c>
      <c r="B57" t="s">
        <v>54</v>
      </c>
      <c r="D57" t="s">
        <v>56</v>
      </c>
      <c r="F57" t="s">
        <v>57</v>
      </c>
      <c r="G57" s="2">
        <v>1842.3</v>
      </c>
      <c r="H57" t="s">
        <v>47</v>
      </c>
      <c r="I57">
        <v>16</v>
      </c>
    </row>
    <row r="58" spans="1:9" hidden="1" x14ac:dyDescent="0.3">
      <c r="A58" t="s">
        <v>95</v>
      </c>
      <c r="B58" t="s">
        <v>37</v>
      </c>
      <c r="D58" t="s">
        <v>32</v>
      </c>
      <c r="F58" t="s">
        <v>33</v>
      </c>
      <c r="G58" s="2">
        <v>644.14</v>
      </c>
      <c r="H58" t="s">
        <v>11</v>
      </c>
      <c r="I58">
        <v>0</v>
      </c>
    </row>
    <row r="59" spans="1:9" hidden="1" x14ac:dyDescent="0.3">
      <c r="A59" t="s">
        <v>96</v>
      </c>
      <c r="B59" t="s">
        <v>31</v>
      </c>
      <c r="D59" t="s">
        <v>18</v>
      </c>
      <c r="F59" t="s">
        <v>19</v>
      </c>
      <c r="G59" s="2">
        <v>10062.4</v>
      </c>
      <c r="H59" t="s">
        <v>15</v>
      </c>
      <c r="I59">
        <v>17</v>
      </c>
    </row>
    <row r="60" spans="1:9" hidden="1" x14ac:dyDescent="0.3">
      <c r="A60" t="s">
        <v>97</v>
      </c>
      <c r="B60" t="s">
        <v>8</v>
      </c>
      <c r="D60" t="s">
        <v>24</v>
      </c>
      <c r="F60" t="s">
        <v>25</v>
      </c>
      <c r="G60" s="2">
        <v>10091.77</v>
      </c>
      <c r="H60" t="s">
        <v>15</v>
      </c>
      <c r="I60">
        <v>21</v>
      </c>
    </row>
    <row r="61" spans="1:9" hidden="1" x14ac:dyDescent="0.3">
      <c r="A61" t="s">
        <v>98</v>
      </c>
      <c r="B61" t="s">
        <v>8</v>
      </c>
      <c r="D61" t="s">
        <v>99</v>
      </c>
      <c r="F61" t="s">
        <v>29</v>
      </c>
      <c r="G61" s="2">
        <v>6901.37</v>
      </c>
      <c r="H61" t="s">
        <v>47</v>
      </c>
      <c r="I61">
        <v>7</v>
      </c>
    </row>
    <row r="62" spans="1:9" hidden="1" x14ac:dyDescent="0.3">
      <c r="A62" t="s">
        <v>100</v>
      </c>
      <c r="B62" t="s">
        <v>8</v>
      </c>
      <c r="D62" t="s">
        <v>13</v>
      </c>
      <c r="F62" t="s">
        <v>14</v>
      </c>
      <c r="G62" s="2">
        <v>3236.66</v>
      </c>
      <c r="H62" t="s">
        <v>11</v>
      </c>
      <c r="I62">
        <v>0</v>
      </c>
    </row>
    <row r="63" spans="1:9" hidden="1" x14ac:dyDescent="0.3">
      <c r="A63" t="s">
        <v>101</v>
      </c>
      <c r="B63" t="s">
        <v>54</v>
      </c>
      <c r="D63" t="s">
        <v>18</v>
      </c>
      <c r="F63" t="s">
        <v>19</v>
      </c>
      <c r="G63" s="2">
        <v>5574.43</v>
      </c>
      <c r="H63" t="s">
        <v>11</v>
      </c>
      <c r="I63">
        <v>0</v>
      </c>
    </row>
    <row r="64" spans="1:9" hidden="1" x14ac:dyDescent="0.3">
      <c r="A64" t="s">
        <v>102</v>
      </c>
      <c r="B64" t="s">
        <v>8</v>
      </c>
      <c r="D64" t="s">
        <v>13</v>
      </c>
      <c r="F64" t="s">
        <v>14</v>
      </c>
      <c r="G64" s="2">
        <v>166.96</v>
      </c>
      <c r="H64" t="s">
        <v>35</v>
      </c>
      <c r="I64">
        <v>20</v>
      </c>
    </row>
    <row r="65" spans="1:9" hidden="1" x14ac:dyDescent="0.3">
      <c r="A65" t="s">
        <v>103</v>
      </c>
      <c r="B65" t="s">
        <v>46</v>
      </c>
      <c r="D65" t="s">
        <v>24</v>
      </c>
      <c r="F65" t="s">
        <v>25</v>
      </c>
      <c r="G65" s="2">
        <v>4003.77</v>
      </c>
      <c r="H65" t="s">
        <v>47</v>
      </c>
      <c r="I65">
        <v>48</v>
      </c>
    </row>
    <row r="66" spans="1:9" hidden="1" x14ac:dyDescent="0.3">
      <c r="A66" t="s">
        <v>104</v>
      </c>
      <c r="B66" t="s">
        <v>27</v>
      </c>
      <c r="D66" t="s">
        <v>24</v>
      </c>
      <c r="F66" t="s">
        <v>25</v>
      </c>
      <c r="G66" s="2">
        <v>4121.6099999999997</v>
      </c>
      <c r="H66" t="s">
        <v>20</v>
      </c>
      <c r="I66">
        <v>46</v>
      </c>
    </row>
    <row r="67" spans="1:9" hidden="1" x14ac:dyDescent="0.3">
      <c r="A67" t="s">
        <v>105</v>
      </c>
      <c r="B67" t="s">
        <v>52</v>
      </c>
      <c r="D67" t="s">
        <v>18</v>
      </c>
      <c r="F67" t="s">
        <v>19</v>
      </c>
      <c r="G67" s="2">
        <v>10328.08</v>
      </c>
      <c r="H67" t="s">
        <v>35</v>
      </c>
      <c r="I67">
        <v>33</v>
      </c>
    </row>
    <row r="68" spans="1:9" hidden="1" x14ac:dyDescent="0.3">
      <c r="A68" t="s">
        <v>106</v>
      </c>
      <c r="B68" t="s">
        <v>31</v>
      </c>
      <c r="D68" t="s">
        <v>62</v>
      </c>
      <c r="F68" t="s">
        <v>19</v>
      </c>
      <c r="G68" s="2">
        <v>13584.78</v>
      </c>
      <c r="H68" t="s">
        <v>35</v>
      </c>
      <c r="I68">
        <v>6</v>
      </c>
    </row>
    <row r="69" spans="1:9" hidden="1" x14ac:dyDescent="0.3">
      <c r="A69" t="s">
        <v>107</v>
      </c>
      <c r="B69" t="s">
        <v>37</v>
      </c>
      <c r="D69" t="s">
        <v>62</v>
      </c>
      <c r="F69" t="s">
        <v>19</v>
      </c>
      <c r="G69" s="2">
        <v>709.1</v>
      </c>
      <c r="H69" t="s">
        <v>15</v>
      </c>
      <c r="I69">
        <v>9</v>
      </c>
    </row>
    <row r="70" spans="1:9" hidden="1" x14ac:dyDescent="0.3">
      <c r="A70" t="s">
        <v>108</v>
      </c>
      <c r="B70" t="s">
        <v>46</v>
      </c>
      <c r="D70" t="s">
        <v>24</v>
      </c>
      <c r="F70" t="s">
        <v>25</v>
      </c>
      <c r="G70" s="2">
        <v>11131.4</v>
      </c>
      <c r="H70" t="s">
        <v>20</v>
      </c>
      <c r="I70">
        <v>28</v>
      </c>
    </row>
    <row r="71" spans="1:9" hidden="1" x14ac:dyDescent="0.3">
      <c r="A71" t="s">
        <v>109</v>
      </c>
      <c r="B71" t="s">
        <v>44</v>
      </c>
      <c r="D71" t="s">
        <v>99</v>
      </c>
      <c r="F71" t="s">
        <v>29</v>
      </c>
      <c r="G71" s="2">
        <v>1722.51</v>
      </c>
      <c r="H71" t="s">
        <v>47</v>
      </c>
      <c r="I71">
        <v>45</v>
      </c>
    </row>
    <row r="72" spans="1:9" hidden="1" x14ac:dyDescent="0.3">
      <c r="A72" t="s">
        <v>110</v>
      </c>
      <c r="B72" t="s">
        <v>44</v>
      </c>
      <c r="D72" t="s">
        <v>13</v>
      </c>
      <c r="F72" t="s">
        <v>14</v>
      </c>
      <c r="G72" s="2">
        <v>588.62</v>
      </c>
      <c r="H72" t="s">
        <v>15</v>
      </c>
      <c r="I72">
        <v>36</v>
      </c>
    </row>
    <row r="73" spans="1:9" hidden="1" x14ac:dyDescent="0.3">
      <c r="A73" t="s">
        <v>111</v>
      </c>
      <c r="B73" t="s">
        <v>22</v>
      </c>
      <c r="D73" t="s">
        <v>56</v>
      </c>
      <c r="F73" t="s">
        <v>57</v>
      </c>
      <c r="G73" s="2">
        <v>1955.31</v>
      </c>
      <c r="H73" t="s">
        <v>15</v>
      </c>
      <c r="I73">
        <v>58</v>
      </c>
    </row>
    <row r="74" spans="1:9" hidden="1" x14ac:dyDescent="0.3">
      <c r="A74" t="s">
        <v>112</v>
      </c>
      <c r="B74" t="s">
        <v>46</v>
      </c>
      <c r="D74" t="s">
        <v>28</v>
      </c>
      <c r="F74" t="s">
        <v>29</v>
      </c>
      <c r="G74" s="2">
        <v>3190.64</v>
      </c>
      <c r="H74" t="s">
        <v>11</v>
      </c>
      <c r="I74">
        <v>0</v>
      </c>
    </row>
    <row r="75" spans="1:9" hidden="1" x14ac:dyDescent="0.3">
      <c r="A75" t="s">
        <v>113</v>
      </c>
      <c r="B75" t="s">
        <v>17</v>
      </c>
      <c r="D75" t="s">
        <v>56</v>
      </c>
      <c r="F75" t="s">
        <v>57</v>
      </c>
      <c r="G75" s="2">
        <v>14608.86</v>
      </c>
      <c r="H75" t="s">
        <v>35</v>
      </c>
      <c r="I75">
        <v>60</v>
      </c>
    </row>
    <row r="76" spans="1:9" hidden="1" x14ac:dyDescent="0.3">
      <c r="A76" t="s">
        <v>114</v>
      </c>
      <c r="B76" t="s">
        <v>31</v>
      </c>
      <c r="D76" t="s">
        <v>24</v>
      </c>
      <c r="F76" t="s">
        <v>25</v>
      </c>
      <c r="G76" s="2">
        <v>14644.28</v>
      </c>
      <c r="H76" t="s">
        <v>35</v>
      </c>
      <c r="I76">
        <v>57</v>
      </c>
    </row>
    <row r="77" spans="1:9" hidden="1" x14ac:dyDescent="0.3">
      <c r="A77" t="s">
        <v>115</v>
      </c>
      <c r="B77" t="s">
        <v>31</v>
      </c>
      <c r="D77" t="s">
        <v>99</v>
      </c>
      <c r="F77" t="s">
        <v>29</v>
      </c>
      <c r="G77" s="2">
        <v>2731.44</v>
      </c>
      <c r="H77" t="s">
        <v>47</v>
      </c>
      <c r="I77">
        <v>51</v>
      </c>
    </row>
    <row r="78" spans="1:9" hidden="1" x14ac:dyDescent="0.3">
      <c r="A78" t="s">
        <v>116</v>
      </c>
      <c r="B78" t="s">
        <v>31</v>
      </c>
      <c r="D78" t="s">
        <v>18</v>
      </c>
      <c r="F78" t="s">
        <v>19</v>
      </c>
      <c r="G78" s="2">
        <v>4038.75</v>
      </c>
      <c r="H78" t="s">
        <v>35</v>
      </c>
      <c r="I78">
        <v>7</v>
      </c>
    </row>
    <row r="79" spans="1:9" hidden="1" x14ac:dyDescent="0.3">
      <c r="A79" t="s">
        <v>117</v>
      </c>
      <c r="B79" t="s">
        <v>27</v>
      </c>
      <c r="D79" t="s">
        <v>99</v>
      </c>
      <c r="F79" t="s">
        <v>29</v>
      </c>
      <c r="G79" s="2">
        <v>12885.97</v>
      </c>
      <c r="H79" t="s">
        <v>11</v>
      </c>
      <c r="I79">
        <v>14</v>
      </c>
    </row>
    <row r="80" spans="1:9" hidden="1" x14ac:dyDescent="0.3">
      <c r="A80" t="s">
        <v>118</v>
      </c>
      <c r="B80" t="s">
        <v>22</v>
      </c>
      <c r="D80" t="s">
        <v>62</v>
      </c>
      <c r="F80" t="s">
        <v>19</v>
      </c>
      <c r="G80" s="2">
        <v>12317.02</v>
      </c>
      <c r="H80" t="s">
        <v>35</v>
      </c>
      <c r="I80">
        <v>15</v>
      </c>
    </row>
    <row r="81" spans="1:9" hidden="1" x14ac:dyDescent="0.3">
      <c r="A81" t="s">
        <v>119</v>
      </c>
      <c r="B81" t="s">
        <v>27</v>
      </c>
      <c r="D81" t="s">
        <v>18</v>
      </c>
      <c r="F81" t="s">
        <v>19</v>
      </c>
      <c r="G81" s="2">
        <v>6007.07</v>
      </c>
      <c r="H81" t="s">
        <v>11</v>
      </c>
      <c r="I81">
        <v>0</v>
      </c>
    </row>
    <row r="82" spans="1:9" hidden="1" x14ac:dyDescent="0.3">
      <c r="A82" t="s">
        <v>120</v>
      </c>
      <c r="B82" t="s">
        <v>27</v>
      </c>
      <c r="D82" t="s">
        <v>13</v>
      </c>
      <c r="F82" t="s">
        <v>14</v>
      </c>
      <c r="G82" s="2">
        <v>6025.19</v>
      </c>
      <c r="H82" t="s">
        <v>47</v>
      </c>
      <c r="I82">
        <v>35</v>
      </c>
    </row>
    <row r="83" spans="1:9" hidden="1" x14ac:dyDescent="0.3">
      <c r="A83" t="s">
        <v>121</v>
      </c>
      <c r="B83" t="s">
        <v>54</v>
      </c>
      <c r="D83" t="s">
        <v>99</v>
      </c>
      <c r="F83" t="s">
        <v>29</v>
      </c>
      <c r="G83" s="2">
        <v>1774.36</v>
      </c>
      <c r="H83" t="s">
        <v>47</v>
      </c>
      <c r="I83">
        <v>12</v>
      </c>
    </row>
    <row r="84" spans="1:9" hidden="1" x14ac:dyDescent="0.3">
      <c r="A84" t="s">
        <v>122</v>
      </c>
      <c r="B84" t="s">
        <v>27</v>
      </c>
      <c r="D84" t="s">
        <v>62</v>
      </c>
      <c r="F84" t="s">
        <v>19</v>
      </c>
      <c r="G84" s="2">
        <v>621.95000000000005</v>
      </c>
      <c r="H84" t="s">
        <v>20</v>
      </c>
      <c r="I84">
        <v>23</v>
      </c>
    </row>
    <row r="85" spans="1:9" hidden="1" x14ac:dyDescent="0.3">
      <c r="A85" t="s">
        <v>123</v>
      </c>
      <c r="B85" t="s">
        <v>54</v>
      </c>
      <c r="D85" t="s">
        <v>56</v>
      </c>
      <c r="F85" t="s">
        <v>57</v>
      </c>
      <c r="G85" s="2">
        <v>9112.82</v>
      </c>
      <c r="H85" t="s">
        <v>15</v>
      </c>
      <c r="I85">
        <v>25</v>
      </c>
    </row>
    <row r="86" spans="1:9" hidden="1" x14ac:dyDescent="0.3">
      <c r="A86" t="s">
        <v>124</v>
      </c>
      <c r="B86" t="s">
        <v>46</v>
      </c>
      <c r="D86" t="s">
        <v>18</v>
      </c>
      <c r="F86" t="s">
        <v>19</v>
      </c>
      <c r="G86" s="2">
        <v>3858.1</v>
      </c>
      <c r="H86" t="s">
        <v>20</v>
      </c>
      <c r="I86">
        <v>1</v>
      </c>
    </row>
    <row r="87" spans="1:9" hidden="1" x14ac:dyDescent="0.3">
      <c r="A87" t="s">
        <v>125</v>
      </c>
      <c r="B87" t="s">
        <v>17</v>
      </c>
      <c r="D87" t="s">
        <v>13</v>
      </c>
      <c r="F87" t="s">
        <v>14</v>
      </c>
      <c r="G87" s="2">
        <v>10318.51</v>
      </c>
      <c r="H87" t="s">
        <v>47</v>
      </c>
      <c r="I87">
        <v>48</v>
      </c>
    </row>
    <row r="88" spans="1:9" hidden="1" x14ac:dyDescent="0.3">
      <c r="A88" t="s">
        <v>126</v>
      </c>
      <c r="B88" t="s">
        <v>27</v>
      </c>
      <c r="D88" t="s">
        <v>28</v>
      </c>
      <c r="F88" t="s">
        <v>29</v>
      </c>
      <c r="G88" s="2">
        <v>6497.9</v>
      </c>
      <c r="H88" t="s">
        <v>47</v>
      </c>
      <c r="I88">
        <v>59</v>
      </c>
    </row>
    <row r="89" spans="1:9" hidden="1" x14ac:dyDescent="0.3">
      <c r="A89" t="s">
        <v>127</v>
      </c>
      <c r="B89" t="s">
        <v>37</v>
      </c>
      <c r="D89" t="s">
        <v>32</v>
      </c>
      <c r="F89" t="s">
        <v>33</v>
      </c>
      <c r="G89" s="2">
        <v>4743.04</v>
      </c>
      <c r="H89" t="s">
        <v>35</v>
      </c>
      <c r="I89">
        <v>47</v>
      </c>
    </row>
    <row r="90" spans="1:9" hidden="1" x14ac:dyDescent="0.3">
      <c r="A90" t="s">
        <v>128</v>
      </c>
      <c r="B90" t="s">
        <v>37</v>
      </c>
      <c r="D90" t="s">
        <v>13</v>
      </c>
      <c r="F90" t="s">
        <v>14</v>
      </c>
      <c r="G90" s="2">
        <v>4673.8100000000004</v>
      </c>
      <c r="H90" t="s">
        <v>15</v>
      </c>
      <c r="I90">
        <v>26</v>
      </c>
    </row>
    <row r="91" spans="1:9" hidden="1" x14ac:dyDescent="0.3">
      <c r="A91" t="s">
        <v>129</v>
      </c>
      <c r="B91" t="s">
        <v>44</v>
      </c>
      <c r="D91" t="s">
        <v>13</v>
      </c>
      <c r="F91" t="s">
        <v>14</v>
      </c>
      <c r="G91" s="2">
        <v>1952.95</v>
      </c>
      <c r="H91" t="s">
        <v>15</v>
      </c>
      <c r="I91">
        <v>25</v>
      </c>
    </row>
    <row r="92" spans="1:9" hidden="1" x14ac:dyDescent="0.3">
      <c r="A92" t="s">
        <v>130</v>
      </c>
      <c r="B92" t="s">
        <v>22</v>
      </c>
      <c r="D92" t="s">
        <v>32</v>
      </c>
      <c r="F92" t="s">
        <v>33</v>
      </c>
      <c r="G92" s="2">
        <v>8558.1200000000008</v>
      </c>
      <c r="H92" t="s">
        <v>15</v>
      </c>
      <c r="I92">
        <v>54</v>
      </c>
    </row>
    <row r="93" spans="1:9" hidden="1" x14ac:dyDescent="0.3">
      <c r="A93" t="s">
        <v>131</v>
      </c>
      <c r="B93" t="s">
        <v>54</v>
      </c>
      <c r="D93" t="s">
        <v>62</v>
      </c>
      <c r="F93" t="s">
        <v>19</v>
      </c>
      <c r="G93" s="2">
        <v>4339.3599999999997</v>
      </c>
      <c r="H93" t="s">
        <v>15</v>
      </c>
      <c r="I93">
        <v>38</v>
      </c>
    </row>
    <row r="94" spans="1:9" hidden="1" x14ac:dyDescent="0.3">
      <c r="A94" t="s">
        <v>132</v>
      </c>
      <c r="B94" t="s">
        <v>46</v>
      </c>
      <c r="D94" t="s">
        <v>28</v>
      </c>
      <c r="F94" t="s">
        <v>29</v>
      </c>
      <c r="G94" s="2">
        <v>7001.57</v>
      </c>
      <c r="H94" t="s">
        <v>15</v>
      </c>
      <c r="I94">
        <v>14</v>
      </c>
    </row>
    <row r="95" spans="1:9" x14ac:dyDescent="0.3">
      <c r="A95" t="s">
        <v>133</v>
      </c>
      <c r="B95" t="s">
        <v>44</v>
      </c>
      <c r="D95" t="s">
        <v>40</v>
      </c>
      <c r="F95" t="s">
        <v>41</v>
      </c>
      <c r="G95" s="2">
        <v>11916.34</v>
      </c>
      <c r="H95" t="s">
        <v>47</v>
      </c>
      <c r="I95">
        <v>48</v>
      </c>
    </row>
    <row r="96" spans="1:9" hidden="1" x14ac:dyDescent="0.3">
      <c r="A96" t="s">
        <v>134</v>
      </c>
      <c r="B96" t="s">
        <v>27</v>
      </c>
      <c r="D96" t="s">
        <v>9</v>
      </c>
      <c r="F96" t="s">
        <v>10</v>
      </c>
      <c r="G96" s="2">
        <v>4292.6099999999997</v>
      </c>
      <c r="H96" t="s">
        <v>20</v>
      </c>
      <c r="I96">
        <v>40</v>
      </c>
    </row>
    <row r="97" spans="1:9" hidden="1" x14ac:dyDescent="0.3">
      <c r="A97" t="s">
        <v>135</v>
      </c>
      <c r="B97" t="s">
        <v>37</v>
      </c>
      <c r="D97" t="s">
        <v>9</v>
      </c>
      <c r="F97" t="s">
        <v>10</v>
      </c>
      <c r="G97" s="2">
        <v>12285.43</v>
      </c>
      <c r="H97" t="s">
        <v>35</v>
      </c>
      <c r="I97">
        <v>44</v>
      </c>
    </row>
    <row r="98" spans="1:9" hidden="1" x14ac:dyDescent="0.3">
      <c r="A98" t="s">
        <v>136</v>
      </c>
      <c r="B98" t="s">
        <v>52</v>
      </c>
      <c r="D98" t="s">
        <v>18</v>
      </c>
      <c r="F98" t="s">
        <v>19</v>
      </c>
      <c r="G98" s="2">
        <v>12108.12</v>
      </c>
      <c r="H98" t="s">
        <v>11</v>
      </c>
      <c r="I98">
        <v>0</v>
      </c>
    </row>
    <row r="99" spans="1:9" hidden="1" x14ac:dyDescent="0.3">
      <c r="A99" t="s">
        <v>137</v>
      </c>
      <c r="B99" t="s">
        <v>31</v>
      </c>
      <c r="D99" t="s">
        <v>32</v>
      </c>
      <c r="F99" t="s">
        <v>33</v>
      </c>
      <c r="G99" s="2">
        <v>12753.58</v>
      </c>
      <c r="H99" t="s">
        <v>11</v>
      </c>
      <c r="I99">
        <v>0</v>
      </c>
    </row>
    <row r="100" spans="1:9" x14ac:dyDescent="0.3">
      <c r="A100" t="s">
        <v>138</v>
      </c>
      <c r="B100" t="s">
        <v>8</v>
      </c>
      <c r="D100" t="s">
        <v>40</v>
      </c>
      <c r="F100" t="s">
        <v>41</v>
      </c>
      <c r="G100" s="2">
        <v>6024.81</v>
      </c>
      <c r="H100" t="s">
        <v>11</v>
      </c>
      <c r="I100">
        <v>0</v>
      </c>
    </row>
    <row r="101" spans="1:9" hidden="1" x14ac:dyDescent="0.3">
      <c r="A101" t="s">
        <v>139</v>
      </c>
      <c r="B101" t="s">
        <v>46</v>
      </c>
      <c r="D101" t="s">
        <v>56</v>
      </c>
      <c r="F101" t="s">
        <v>57</v>
      </c>
      <c r="G101" s="2">
        <v>3321.67</v>
      </c>
      <c r="H101" t="s">
        <v>35</v>
      </c>
      <c r="I101">
        <v>45</v>
      </c>
    </row>
    <row r="102" spans="1:9" x14ac:dyDescent="0.3">
      <c r="A102" t="s">
        <v>140</v>
      </c>
      <c r="B102" t="s">
        <v>52</v>
      </c>
      <c r="D102" t="s">
        <v>40</v>
      </c>
      <c r="F102" t="s">
        <v>41</v>
      </c>
      <c r="G102" s="2">
        <v>800.76</v>
      </c>
      <c r="H102" t="s">
        <v>11</v>
      </c>
      <c r="I102">
        <v>0</v>
      </c>
    </row>
    <row r="103" spans="1:9" hidden="1" x14ac:dyDescent="0.3">
      <c r="A103" t="s">
        <v>141</v>
      </c>
      <c r="B103" t="s">
        <v>54</v>
      </c>
      <c r="D103" t="s">
        <v>24</v>
      </c>
      <c r="F103" t="s">
        <v>25</v>
      </c>
      <c r="G103" s="2">
        <v>12031.18</v>
      </c>
      <c r="H103" t="s">
        <v>20</v>
      </c>
      <c r="I103">
        <v>36</v>
      </c>
    </row>
    <row r="104" spans="1:9" hidden="1" x14ac:dyDescent="0.3">
      <c r="A104" t="s">
        <v>142</v>
      </c>
      <c r="B104" t="s">
        <v>46</v>
      </c>
      <c r="D104" t="s">
        <v>28</v>
      </c>
      <c r="F104" t="s">
        <v>29</v>
      </c>
      <c r="G104" s="2">
        <v>14253.09</v>
      </c>
      <c r="H104" t="s">
        <v>47</v>
      </c>
      <c r="I104">
        <v>40</v>
      </c>
    </row>
    <row r="105" spans="1:9" hidden="1" x14ac:dyDescent="0.3">
      <c r="A105" t="s">
        <v>143</v>
      </c>
      <c r="B105" t="s">
        <v>44</v>
      </c>
      <c r="D105" t="s">
        <v>56</v>
      </c>
      <c r="F105" t="s">
        <v>57</v>
      </c>
      <c r="G105" s="2">
        <v>12467.01</v>
      </c>
      <c r="H105" t="s">
        <v>15</v>
      </c>
      <c r="I105">
        <v>58</v>
      </c>
    </row>
    <row r="106" spans="1:9" x14ac:dyDescent="0.3">
      <c r="A106" t="s">
        <v>144</v>
      </c>
      <c r="B106" t="s">
        <v>37</v>
      </c>
      <c r="D106" t="s">
        <v>40</v>
      </c>
      <c r="F106" t="s">
        <v>41</v>
      </c>
      <c r="G106" s="2">
        <v>6778.54</v>
      </c>
      <c r="H106" t="s">
        <v>35</v>
      </c>
      <c r="I106">
        <v>54</v>
      </c>
    </row>
    <row r="107" spans="1:9" hidden="1" x14ac:dyDescent="0.3">
      <c r="A107" t="s">
        <v>145</v>
      </c>
      <c r="B107" t="s">
        <v>37</v>
      </c>
      <c r="D107" t="s">
        <v>13</v>
      </c>
      <c r="F107" t="s">
        <v>14</v>
      </c>
      <c r="G107" s="2">
        <v>7294.73</v>
      </c>
      <c r="H107" t="s">
        <v>11</v>
      </c>
      <c r="I107">
        <v>0</v>
      </c>
    </row>
    <row r="108" spans="1:9" hidden="1" x14ac:dyDescent="0.3">
      <c r="A108" t="s">
        <v>146</v>
      </c>
      <c r="B108" t="s">
        <v>8</v>
      </c>
      <c r="D108" t="s">
        <v>18</v>
      </c>
      <c r="F108" t="s">
        <v>19</v>
      </c>
      <c r="G108" s="2">
        <v>4112.1400000000003</v>
      </c>
      <c r="H108" t="s">
        <v>15</v>
      </c>
      <c r="I108">
        <v>35</v>
      </c>
    </row>
    <row r="109" spans="1:9" hidden="1" x14ac:dyDescent="0.3">
      <c r="A109" t="s">
        <v>147</v>
      </c>
      <c r="B109" t="s">
        <v>17</v>
      </c>
      <c r="D109" t="s">
        <v>24</v>
      </c>
      <c r="F109" t="s">
        <v>25</v>
      </c>
      <c r="G109" s="2">
        <v>2304.92</v>
      </c>
      <c r="H109" t="s">
        <v>15</v>
      </c>
      <c r="I109">
        <v>10</v>
      </c>
    </row>
    <row r="110" spans="1:9" hidden="1" x14ac:dyDescent="0.3">
      <c r="A110" t="s">
        <v>148</v>
      </c>
      <c r="B110" t="s">
        <v>31</v>
      </c>
      <c r="D110" t="s">
        <v>9</v>
      </c>
      <c r="F110" t="s">
        <v>10</v>
      </c>
      <c r="G110" s="2">
        <v>6252.28</v>
      </c>
      <c r="H110" t="s">
        <v>15</v>
      </c>
      <c r="I110">
        <v>30</v>
      </c>
    </row>
    <row r="111" spans="1:9" hidden="1" x14ac:dyDescent="0.3">
      <c r="A111" t="s">
        <v>149</v>
      </c>
      <c r="B111" t="s">
        <v>54</v>
      </c>
      <c r="D111" t="s">
        <v>99</v>
      </c>
      <c r="F111" t="s">
        <v>29</v>
      </c>
      <c r="G111" s="2">
        <v>3142.17</v>
      </c>
      <c r="H111" t="s">
        <v>15</v>
      </c>
      <c r="I111">
        <v>58</v>
      </c>
    </row>
    <row r="112" spans="1:9" hidden="1" x14ac:dyDescent="0.3">
      <c r="A112" t="s">
        <v>150</v>
      </c>
      <c r="B112" t="s">
        <v>52</v>
      </c>
      <c r="D112" t="s">
        <v>99</v>
      </c>
      <c r="F112" t="s">
        <v>29</v>
      </c>
      <c r="G112" s="2">
        <v>12858.14</v>
      </c>
      <c r="H112" t="s">
        <v>35</v>
      </c>
      <c r="I112">
        <v>25</v>
      </c>
    </row>
    <row r="113" spans="1:9" hidden="1" x14ac:dyDescent="0.3">
      <c r="A113" t="s">
        <v>151</v>
      </c>
      <c r="B113" t="s">
        <v>31</v>
      </c>
      <c r="D113" t="s">
        <v>99</v>
      </c>
      <c r="F113" t="s">
        <v>29</v>
      </c>
      <c r="G113" s="2">
        <v>14143.99</v>
      </c>
      <c r="H113" t="s">
        <v>15</v>
      </c>
      <c r="I113">
        <v>25</v>
      </c>
    </row>
    <row r="114" spans="1:9" hidden="1" x14ac:dyDescent="0.3">
      <c r="A114" t="s">
        <v>152</v>
      </c>
      <c r="B114" t="s">
        <v>17</v>
      </c>
      <c r="D114" t="s">
        <v>13</v>
      </c>
      <c r="F114" t="s">
        <v>14</v>
      </c>
      <c r="G114" s="2">
        <v>11225.36</v>
      </c>
      <c r="H114" t="s">
        <v>15</v>
      </c>
      <c r="I114">
        <v>39</v>
      </c>
    </row>
    <row r="115" spans="1:9" x14ac:dyDescent="0.3">
      <c r="A115" t="s">
        <v>153</v>
      </c>
      <c r="B115" t="s">
        <v>31</v>
      </c>
      <c r="D115" t="s">
        <v>40</v>
      </c>
      <c r="F115" t="s">
        <v>41</v>
      </c>
      <c r="G115" s="2">
        <v>3330.35</v>
      </c>
      <c r="H115" t="s">
        <v>15</v>
      </c>
      <c r="I115">
        <v>2</v>
      </c>
    </row>
    <row r="116" spans="1:9" hidden="1" x14ac:dyDescent="0.3">
      <c r="A116" t="s">
        <v>154</v>
      </c>
      <c r="B116" t="s">
        <v>44</v>
      </c>
      <c r="D116" t="s">
        <v>28</v>
      </c>
      <c r="F116" t="s">
        <v>29</v>
      </c>
      <c r="G116" s="2">
        <v>10049.66</v>
      </c>
      <c r="H116" t="s">
        <v>35</v>
      </c>
      <c r="I116">
        <v>47</v>
      </c>
    </row>
    <row r="117" spans="1:9" x14ac:dyDescent="0.3">
      <c r="A117" t="s">
        <v>155</v>
      </c>
      <c r="B117" t="s">
        <v>22</v>
      </c>
      <c r="D117" t="s">
        <v>40</v>
      </c>
      <c r="F117" t="s">
        <v>41</v>
      </c>
      <c r="G117" s="2">
        <v>13797.15</v>
      </c>
      <c r="H117" t="s">
        <v>47</v>
      </c>
      <c r="I117">
        <v>35</v>
      </c>
    </row>
    <row r="118" spans="1:9" hidden="1" x14ac:dyDescent="0.3">
      <c r="A118" t="s">
        <v>156</v>
      </c>
      <c r="B118" t="s">
        <v>31</v>
      </c>
      <c r="D118" t="s">
        <v>56</v>
      </c>
      <c r="F118" t="s">
        <v>57</v>
      </c>
      <c r="G118" s="2">
        <v>8898.7999999999993</v>
      </c>
      <c r="H118" t="s">
        <v>20</v>
      </c>
      <c r="I118">
        <v>6</v>
      </c>
    </row>
    <row r="119" spans="1:9" hidden="1" x14ac:dyDescent="0.3">
      <c r="A119" t="s">
        <v>157</v>
      </c>
      <c r="B119" t="s">
        <v>27</v>
      </c>
      <c r="D119" t="s">
        <v>24</v>
      </c>
      <c r="F119" t="s">
        <v>25</v>
      </c>
      <c r="G119" s="2">
        <v>13009.43</v>
      </c>
      <c r="H119" t="s">
        <v>11</v>
      </c>
      <c r="I119">
        <v>5</v>
      </c>
    </row>
    <row r="120" spans="1:9" hidden="1" x14ac:dyDescent="0.3">
      <c r="A120" t="s">
        <v>158</v>
      </c>
      <c r="B120" t="s">
        <v>31</v>
      </c>
      <c r="D120" t="s">
        <v>18</v>
      </c>
      <c r="F120" t="s">
        <v>19</v>
      </c>
      <c r="G120" s="2">
        <v>6847.75</v>
      </c>
      <c r="H120" t="s">
        <v>15</v>
      </c>
      <c r="I120">
        <v>57</v>
      </c>
    </row>
    <row r="121" spans="1:9" hidden="1" x14ac:dyDescent="0.3">
      <c r="A121" t="s">
        <v>159</v>
      </c>
      <c r="B121" t="s">
        <v>8</v>
      </c>
      <c r="D121" t="s">
        <v>62</v>
      </c>
      <c r="F121" t="s">
        <v>19</v>
      </c>
      <c r="G121" s="2">
        <v>11292.55</v>
      </c>
      <c r="H121" t="s">
        <v>35</v>
      </c>
      <c r="I121">
        <v>17</v>
      </c>
    </row>
    <row r="122" spans="1:9" x14ac:dyDescent="0.3">
      <c r="A122" t="s">
        <v>160</v>
      </c>
      <c r="B122" t="s">
        <v>17</v>
      </c>
      <c r="D122" t="s">
        <v>40</v>
      </c>
      <c r="F122" t="s">
        <v>41</v>
      </c>
      <c r="G122" s="2">
        <v>339.78</v>
      </c>
      <c r="H122" t="s">
        <v>15</v>
      </c>
      <c r="I122">
        <v>23</v>
      </c>
    </row>
    <row r="123" spans="1:9" hidden="1" x14ac:dyDescent="0.3">
      <c r="A123" t="s">
        <v>161</v>
      </c>
      <c r="B123" t="s">
        <v>22</v>
      </c>
      <c r="D123" t="s">
        <v>9</v>
      </c>
      <c r="F123" t="s">
        <v>10</v>
      </c>
      <c r="G123" s="2">
        <v>11729.43</v>
      </c>
      <c r="H123" t="s">
        <v>20</v>
      </c>
      <c r="I123">
        <v>49</v>
      </c>
    </row>
    <row r="124" spans="1:9" hidden="1" x14ac:dyDescent="0.3">
      <c r="A124" t="s">
        <v>162</v>
      </c>
      <c r="B124" t="s">
        <v>44</v>
      </c>
      <c r="D124" t="s">
        <v>18</v>
      </c>
      <c r="F124" t="s">
        <v>19</v>
      </c>
      <c r="G124" s="2">
        <v>3030.44</v>
      </c>
      <c r="H124" t="s">
        <v>11</v>
      </c>
      <c r="I124">
        <v>0</v>
      </c>
    </row>
    <row r="125" spans="1:9" x14ac:dyDescent="0.3">
      <c r="A125" t="s">
        <v>163</v>
      </c>
      <c r="B125" t="s">
        <v>52</v>
      </c>
      <c r="D125" t="s">
        <v>40</v>
      </c>
      <c r="F125" t="s">
        <v>41</v>
      </c>
      <c r="G125" s="2">
        <v>10058.41</v>
      </c>
      <c r="H125" t="s">
        <v>20</v>
      </c>
      <c r="I125">
        <v>14</v>
      </c>
    </row>
    <row r="126" spans="1:9" hidden="1" x14ac:dyDescent="0.3">
      <c r="A126" t="s">
        <v>164</v>
      </c>
      <c r="B126" t="s">
        <v>44</v>
      </c>
      <c r="D126" t="s">
        <v>62</v>
      </c>
      <c r="F126" t="s">
        <v>19</v>
      </c>
      <c r="G126" s="2">
        <v>11515.13</v>
      </c>
      <c r="H126" t="s">
        <v>11</v>
      </c>
      <c r="I126">
        <v>0</v>
      </c>
    </row>
    <row r="127" spans="1:9" hidden="1" x14ac:dyDescent="0.3">
      <c r="A127" t="s">
        <v>165</v>
      </c>
      <c r="B127" t="s">
        <v>31</v>
      </c>
      <c r="D127" t="s">
        <v>62</v>
      </c>
      <c r="F127" t="s">
        <v>19</v>
      </c>
      <c r="G127" s="2">
        <v>1666.08</v>
      </c>
      <c r="H127" t="s">
        <v>11</v>
      </c>
      <c r="I127">
        <v>5</v>
      </c>
    </row>
    <row r="128" spans="1:9" hidden="1" x14ac:dyDescent="0.3">
      <c r="A128" t="s">
        <v>166</v>
      </c>
      <c r="B128" t="s">
        <v>17</v>
      </c>
      <c r="D128" t="s">
        <v>18</v>
      </c>
      <c r="F128" t="s">
        <v>19</v>
      </c>
      <c r="G128" s="2">
        <v>1186.1500000000001</v>
      </c>
      <c r="H128" t="s">
        <v>20</v>
      </c>
      <c r="I128">
        <v>41</v>
      </c>
    </row>
    <row r="129" spans="1:9" hidden="1" x14ac:dyDescent="0.3">
      <c r="A129" t="s">
        <v>167</v>
      </c>
      <c r="B129" t="s">
        <v>54</v>
      </c>
      <c r="D129" t="s">
        <v>9</v>
      </c>
      <c r="F129" t="s">
        <v>10</v>
      </c>
      <c r="G129" s="2">
        <v>10473.040000000001</v>
      </c>
      <c r="H129" t="s">
        <v>15</v>
      </c>
      <c r="I129">
        <v>44</v>
      </c>
    </row>
    <row r="130" spans="1:9" hidden="1" x14ac:dyDescent="0.3">
      <c r="A130" t="s">
        <v>168</v>
      </c>
      <c r="B130" t="s">
        <v>27</v>
      </c>
      <c r="D130" t="s">
        <v>9</v>
      </c>
      <c r="F130" t="s">
        <v>10</v>
      </c>
      <c r="G130" s="2">
        <v>11953.6</v>
      </c>
      <c r="H130" t="s">
        <v>20</v>
      </c>
      <c r="I130">
        <v>3</v>
      </c>
    </row>
    <row r="131" spans="1:9" hidden="1" x14ac:dyDescent="0.3">
      <c r="A131" t="s">
        <v>169</v>
      </c>
      <c r="B131" t="s">
        <v>27</v>
      </c>
      <c r="D131" t="s">
        <v>13</v>
      </c>
      <c r="F131" t="s">
        <v>14</v>
      </c>
      <c r="G131" s="2">
        <v>6454.25</v>
      </c>
      <c r="H131" t="s">
        <v>15</v>
      </c>
      <c r="I131">
        <v>33</v>
      </c>
    </row>
    <row r="132" spans="1:9" hidden="1" x14ac:dyDescent="0.3">
      <c r="A132" t="s">
        <v>170</v>
      </c>
      <c r="B132" t="s">
        <v>31</v>
      </c>
      <c r="D132" t="s">
        <v>99</v>
      </c>
      <c r="F132" t="s">
        <v>29</v>
      </c>
      <c r="G132" s="2">
        <v>12751.16</v>
      </c>
      <c r="H132" t="s">
        <v>35</v>
      </c>
      <c r="I132">
        <v>7</v>
      </c>
    </row>
    <row r="133" spans="1:9" hidden="1" x14ac:dyDescent="0.3">
      <c r="A133" t="s">
        <v>171</v>
      </c>
      <c r="B133" t="s">
        <v>44</v>
      </c>
      <c r="D133" t="s">
        <v>28</v>
      </c>
      <c r="F133" t="s">
        <v>29</v>
      </c>
      <c r="G133" s="2">
        <v>9552</v>
      </c>
      <c r="H133" t="s">
        <v>35</v>
      </c>
      <c r="I133">
        <v>46</v>
      </c>
    </row>
    <row r="134" spans="1:9" hidden="1" x14ac:dyDescent="0.3">
      <c r="A134" t="s">
        <v>172</v>
      </c>
      <c r="B134" t="s">
        <v>37</v>
      </c>
      <c r="D134" t="s">
        <v>56</v>
      </c>
      <c r="F134" t="s">
        <v>57</v>
      </c>
      <c r="G134" s="2">
        <v>2683.25</v>
      </c>
      <c r="H134" t="s">
        <v>15</v>
      </c>
      <c r="I134">
        <v>42</v>
      </c>
    </row>
    <row r="135" spans="1:9" hidden="1" x14ac:dyDescent="0.3">
      <c r="A135" t="s">
        <v>173</v>
      </c>
      <c r="B135" t="s">
        <v>52</v>
      </c>
      <c r="D135" t="s">
        <v>32</v>
      </c>
      <c r="F135" t="s">
        <v>33</v>
      </c>
      <c r="G135" s="2">
        <v>12132.58</v>
      </c>
      <c r="H135" t="s">
        <v>15</v>
      </c>
      <c r="I135">
        <v>31</v>
      </c>
    </row>
    <row r="136" spans="1:9" hidden="1" x14ac:dyDescent="0.3">
      <c r="A136" t="s">
        <v>174</v>
      </c>
      <c r="B136" t="s">
        <v>17</v>
      </c>
      <c r="D136" t="s">
        <v>56</v>
      </c>
      <c r="F136" t="s">
        <v>57</v>
      </c>
      <c r="G136" s="2">
        <v>12394.73</v>
      </c>
      <c r="H136" t="s">
        <v>20</v>
      </c>
      <c r="I136">
        <v>21</v>
      </c>
    </row>
    <row r="137" spans="1:9" hidden="1" x14ac:dyDescent="0.3">
      <c r="A137" t="s">
        <v>175</v>
      </c>
      <c r="B137" t="s">
        <v>52</v>
      </c>
      <c r="D137" t="s">
        <v>9</v>
      </c>
      <c r="F137" t="s">
        <v>10</v>
      </c>
      <c r="G137" s="2">
        <v>4219.9799999999996</v>
      </c>
      <c r="H137" t="s">
        <v>15</v>
      </c>
      <c r="I137">
        <v>49</v>
      </c>
    </row>
    <row r="138" spans="1:9" hidden="1" x14ac:dyDescent="0.3">
      <c r="A138" t="s">
        <v>176</v>
      </c>
      <c r="B138" t="s">
        <v>52</v>
      </c>
      <c r="D138" t="s">
        <v>32</v>
      </c>
      <c r="F138" t="s">
        <v>33</v>
      </c>
      <c r="G138" s="2">
        <v>9174.4599999999991</v>
      </c>
      <c r="H138" t="s">
        <v>15</v>
      </c>
      <c r="I138">
        <v>2</v>
      </c>
    </row>
    <row r="139" spans="1:9" hidden="1" x14ac:dyDescent="0.3">
      <c r="A139" t="s">
        <v>177</v>
      </c>
      <c r="B139" t="s">
        <v>27</v>
      </c>
      <c r="D139" t="s">
        <v>28</v>
      </c>
      <c r="F139" t="s">
        <v>29</v>
      </c>
      <c r="G139" s="2">
        <v>2768.51</v>
      </c>
      <c r="H139" t="s">
        <v>11</v>
      </c>
      <c r="I139">
        <v>0</v>
      </c>
    </row>
    <row r="140" spans="1:9" hidden="1" x14ac:dyDescent="0.3">
      <c r="A140" t="s">
        <v>178</v>
      </c>
      <c r="B140" t="s">
        <v>46</v>
      </c>
      <c r="D140" t="s">
        <v>62</v>
      </c>
      <c r="F140" t="s">
        <v>19</v>
      </c>
      <c r="G140" s="2">
        <v>13210.78</v>
      </c>
      <c r="H140" t="s">
        <v>20</v>
      </c>
      <c r="I140">
        <v>18</v>
      </c>
    </row>
    <row r="141" spans="1:9" hidden="1" x14ac:dyDescent="0.3">
      <c r="A141" t="s">
        <v>179</v>
      </c>
      <c r="B141" t="s">
        <v>52</v>
      </c>
      <c r="D141" t="s">
        <v>99</v>
      </c>
      <c r="F141" t="s">
        <v>29</v>
      </c>
      <c r="G141" s="2">
        <v>7773.58</v>
      </c>
      <c r="H141" t="s">
        <v>11</v>
      </c>
      <c r="I141">
        <v>4</v>
      </c>
    </row>
    <row r="142" spans="1:9" hidden="1" x14ac:dyDescent="0.3">
      <c r="A142" t="s">
        <v>180</v>
      </c>
      <c r="B142" t="s">
        <v>52</v>
      </c>
      <c r="D142" t="s">
        <v>13</v>
      </c>
      <c r="F142" t="s">
        <v>14</v>
      </c>
      <c r="G142" s="2">
        <v>11384.56</v>
      </c>
      <c r="H142" t="s">
        <v>20</v>
      </c>
      <c r="I142">
        <v>42</v>
      </c>
    </row>
    <row r="143" spans="1:9" x14ac:dyDescent="0.3">
      <c r="A143" t="s">
        <v>181</v>
      </c>
      <c r="B143" t="s">
        <v>17</v>
      </c>
      <c r="D143" t="s">
        <v>40</v>
      </c>
      <c r="F143" t="s">
        <v>41</v>
      </c>
      <c r="G143" s="2">
        <v>11904.35</v>
      </c>
      <c r="H143" t="s">
        <v>11</v>
      </c>
      <c r="I143">
        <v>4</v>
      </c>
    </row>
    <row r="144" spans="1:9" hidden="1" x14ac:dyDescent="0.3">
      <c r="A144" t="s">
        <v>182</v>
      </c>
      <c r="B144" t="s">
        <v>46</v>
      </c>
      <c r="D144" t="s">
        <v>62</v>
      </c>
      <c r="F144" t="s">
        <v>19</v>
      </c>
      <c r="G144" s="2">
        <v>9976.2000000000007</v>
      </c>
      <c r="H144" t="s">
        <v>15</v>
      </c>
      <c r="I144">
        <v>36</v>
      </c>
    </row>
    <row r="145" spans="1:9" hidden="1" x14ac:dyDescent="0.3">
      <c r="A145" t="s">
        <v>183</v>
      </c>
      <c r="B145" t="s">
        <v>27</v>
      </c>
      <c r="D145" t="s">
        <v>28</v>
      </c>
      <c r="F145" t="s">
        <v>29</v>
      </c>
      <c r="G145" s="2">
        <v>6411.28</v>
      </c>
      <c r="H145" t="s">
        <v>35</v>
      </c>
      <c r="I145">
        <v>22</v>
      </c>
    </row>
    <row r="146" spans="1:9" x14ac:dyDescent="0.3">
      <c r="A146" t="s">
        <v>184</v>
      </c>
      <c r="B146" t="s">
        <v>27</v>
      </c>
      <c r="D146" t="s">
        <v>40</v>
      </c>
      <c r="F146" t="s">
        <v>41</v>
      </c>
      <c r="G146" s="2">
        <v>4100.2</v>
      </c>
      <c r="H146" t="s">
        <v>11</v>
      </c>
      <c r="I146">
        <v>0</v>
      </c>
    </row>
    <row r="147" spans="1:9" hidden="1" x14ac:dyDescent="0.3">
      <c r="A147" t="s">
        <v>185</v>
      </c>
      <c r="B147" t="s">
        <v>44</v>
      </c>
      <c r="D147" t="s">
        <v>9</v>
      </c>
      <c r="F147" t="s">
        <v>10</v>
      </c>
      <c r="G147" s="2">
        <v>11156.07</v>
      </c>
      <c r="H147" t="s">
        <v>47</v>
      </c>
      <c r="I147">
        <v>45</v>
      </c>
    </row>
    <row r="148" spans="1:9" hidden="1" x14ac:dyDescent="0.3">
      <c r="A148" t="s">
        <v>186</v>
      </c>
      <c r="B148" t="s">
        <v>54</v>
      </c>
      <c r="D148" t="s">
        <v>18</v>
      </c>
      <c r="F148" t="s">
        <v>19</v>
      </c>
      <c r="G148" s="2">
        <v>3284.95</v>
      </c>
      <c r="H148" t="s">
        <v>15</v>
      </c>
      <c r="I148">
        <v>47</v>
      </c>
    </row>
    <row r="149" spans="1:9" hidden="1" x14ac:dyDescent="0.3">
      <c r="A149" t="s">
        <v>187</v>
      </c>
      <c r="B149" t="s">
        <v>17</v>
      </c>
      <c r="D149" t="s">
        <v>13</v>
      </c>
      <c r="F149" t="s">
        <v>14</v>
      </c>
      <c r="G149" s="2">
        <v>8972.02</v>
      </c>
      <c r="H149" t="s">
        <v>47</v>
      </c>
      <c r="I149">
        <v>54</v>
      </c>
    </row>
    <row r="150" spans="1:9" hidden="1" x14ac:dyDescent="0.3">
      <c r="A150" t="s">
        <v>188</v>
      </c>
      <c r="B150" t="s">
        <v>37</v>
      </c>
      <c r="D150" t="s">
        <v>62</v>
      </c>
      <c r="F150" t="s">
        <v>19</v>
      </c>
      <c r="G150" s="2">
        <v>3450.87</v>
      </c>
      <c r="H150" t="s">
        <v>11</v>
      </c>
      <c r="I150">
        <v>0</v>
      </c>
    </row>
    <row r="151" spans="1:9" hidden="1" x14ac:dyDescent="0.3">
      <c r="A151" t="s">
        <v>189</v>
      </c>
      <c r="B151" t="s">
        <v>44</v>
      </c>
      <c r="D151" t="s">
        <v>99</v>
      </c>
      <c r="F151" t="s">
        <v>29</v>
      </c>
      <c r="G151" s="2">
        <v>14615.71</v>
      </c>
      <c r="H151" t="s">
        <v>20</v>
      </c>
      <c r="I151">
        <v>45</v>
      </c>
    </row>
    <row r="152" spans="1:9" x14ac:dyDescent="0.3">
      <c r="A152" t="s">
        <v>190</v>
      </c>
      <c r="B152" t="s">
        <v>52</v>
      </c>
      <c r="D152" t="s">
        <v>40</v>
      </c>
      <c r="F152" t="s">
        <v>41</v>
      </c>
      <c r="G152" s="2">
        <v>1583.69</v>
      </c>
      <c r="H152" t="s">
        <v>11</v>
      </c>
      <c r="I152">
        <v>5</v>
      </c>
    </row>
    <row r="153" spans="1:9" x14ac:dyDescent="0.3">
      <c r="A153" t="s">
        <v>191</v>
      </c>
      <c r="B153" t="s">
        <v>52</v>
      </c>
      <c r="D153" t="s">
        <v>40</v>
      </c>
      <c r="F153" t="s">
        <v>41</v>
      </c>
      <c r="G153" s="2">
        <v>5143.55</v>
      </c>
      <c r="H153" t="s">
        <v>47</v>
      </c>
      <c r="I153">
        <v>17</v>
      </c>
    </row>
    <row r="154" spans="1:9" hidden="1" x14ac:dyDescent="0.3">
      <c r="A154" t="s">
        <v>192</v>
      </c>
      <c r="B154" t="s">
        <v>54</v>
      </c>
      <c r="D154" t="s">
        <v>9</v>
      </c>
      <c r="F154" t="s">
        <v>10</v>
      </c>
      <c r="G154" s="2">
        <v>12340.63</v>
      </c>
      <c r="H154" t="s">
        <v>15</v>
      </c>
      <c r="I154">
        <v>5</v>
      </c>
    </row>
    <row r="155" spans="1:9" hidden="1" x14ac:dyDescent="0.3">
      <c r="A155" t="s">
        <v>193</v>
      </c>
      <c r="B155" t="s">
        <v>8</v>
      </c>
      <c r="D155" t="s">
        <v>99</v>
      </c>
      <c r="F155" t="s">
        <v>29</v>
      </c>
      <c r="G155" s="2">
        <v>2318.3200000000002</v>
      </c>
      <c r="H155" t="s">
        <v>35</v>
      </c>
      <c r="I155">
        <v>20</v>
      </c>
    </row>
    <row r="156" spans="1:9" hidden="1" x14ac:dyDescent="0.3">
      <c r="A156" t="s">
        <v>194</v>
      </c>
      <c r="B156" t="s">
        <v>54</v>
      </c>
      <c r="D156" t="s">
        <v>18</v>
      </c>
      <c r="F156" t="s">
        <v>19</v>
      </c>
      <c r="G156" s="2">
        <v>1820.85</v>
      </c>
      <c r="H156" t="s">
        <v>35</v>
      </c>
      <c r="I156">
        <v>39</v>
      </c>
    </row>
    <row r="157" spans="1:9" hidden="1" x14ac:dyDescent="0.3">
      <c r="A157" t="s">
        <v>195</v>
      </c>
      <c r="B157" t="s">
        <v>52</v>
      </c>
      <c r="D157" t="s">
        <v>32</v>
      </c>
      <c r="F157" t="s">
        <v>33</v>
      </c>
      <c r="G157" s="2">
        <v>3424.02</v>
      </c>
      <c r="H157" t="s">
        <v>15</v>
      </c>
      <c r="I157">
        <v>29</v>
      </c>
    </row>
    <row r="158" spans="1:9" hidden="1" x14ac:dyDescent="0.3">
      <c r="A158" t="s">
        <v>196</v>
      </c>
      <c r="B158" t="s">
        <v>54</v>
      </c>
      <c r="D158" t="s">
        <v>62</v>
      </c>
      <c r="F158" t="s">
        <v>19</v>
      </c>
      <c r="G158" s="2">
        <v>12909.49</v>
      </c>
      <c r="H158" t="s">
        <v>47</v>
      </c>
      <c r="I158">
        <v>20</v>
      </c>
    </row>
    <row r="159" spans="1:9" hidden="1" x14ac:dyDescent="0.3">
      <c r="A159" t="s">
        <v>197</v>
      </c>
      <c r="B159" t="s">
        <v>17</v>
      </c>
      <c r="D159" t="s">
        <v>32</v>
      </c>
      <c r="F159" t="s">
        <v>33</v>
      </c>
      <c r="G159" s="2">
        <v>950.44</v>
      </c>
      <c r="H159" t="s">
        <v>47</v>
      </c>
      <c r="I159">
        <v>7</v>
      </c>
    </row>
    <row r="160" spans="1:9" hidden="1" x14ac:dyDescent="0.3">
      <c r="A160" t="s">
        <v>198</v>
      </c>
      <c r="B160" t="s">
        <v>46</v>
      </c>
      <c r="D160" t="s">
        <v>18</v>
      </c>
      <c r="F160" t="s">
        <v>19</v>
      </c>
      <c r="G160" s="2">
        <v>4006.46</v>
      </c>
      <c r="H160" t="s">
        <v>11</v>
      </c>
      <c r="I160">
        <v>0</v>
      </c>
    </row>
    <row r="161" spans="1:9" hidden="1" x14ac:dyDescent="0.3">
      <c r="A161" t="s">
        <v>199</v>
      </c>
      <c r="B161" t="s">
        <v>54</v>
      </c>
      <c r="D161" t="s">
        <v>9</v>
      </c>
      <c r="F161" t="s">
        <v>10</v>
      </c>
      <c r="G161" s="2">
        <v>2390.16</v>
      </c>
      <c r="H161" t="s">
        <v>15</v>
      </c>
      <c r="I161">
        <v>45</v>
      </c>
    </row>
    <row r="162" spans="1:9" x14ac:dyDescent="0.3">
      <c r="A162" t="s">
        <v>200</v>
      </c>
      <c r="B162" t="s">
        <v>52</v>
      </c>
      <c r="D162" t="s">
        <v>40</v>
      </c>
      <c r="F162" t="s">
        <v>41</v>
      </c>
      <c r="G162" s="2">
        <v>4404.33</v>
      </c>
      <c r="H162" t="s">
        <v>11</v>
      </c>
      <c r="I162">
        <v>0</v>
      </c>
    </row>
    <row r="163" spans="1:9" hidden="1" x14ac:dyDescent="0.3">
      <c r="A163" t="s">
        <v>201</v>
      </c>
      <c r="B163" t="s">
        <v>54</v>
      </c>
      <c r="D163" t="s">
        <v>9</v>
      </c>
      <c r="F163" t="s">
        <v>10</v>
      </c>
      <c r="G163" s="2">
        <v>10326.4</v>
      </c>
      <c r="H163" t="s">
        <v>47</v>
      </c>
      <c r="I163">
        <v>51</v>
      </c>
    </row>
    <row r="164" spans="1:9" hidden="1" x14ac:dyDescent="0.3">
      <c r="A164" t="s">
        <v>202</v>
      </c>
      <c r="B164" t="s">
        <v>44</v>
      </c>
      <c r="D164" t="s">
        <v>18</v>
      </c>
      <c r="F164" t="s">
        <v>19</v>
      </c>
      <c r="G164" s="2">
        <v>6405.83</v>
      </c>
      <c r="H164" t="s">
        <v>15</v>
      </c>
      <c r="I164">
        <v>42</v>
      </c>
    </row>
    <row r="165" spans="1:9" hidden="1" x14ac:dyDescent="0.3">
      <c r="A165" t="s">
        <v>203</v>
      </c>
      <c r="B165" t="s">
        <v>54</v>
      </c>
      <c r="D165" t="s">
        <v>62</v>
      </c>
      <c r="F165" t="s">
        <v>19</v>
      </c>
      <c r="G165" s="2">
        <v>12408.14</v>
      </c>
      <c r="H165" t="s">
        <v>11</v>
      </c>
      <c r="I165">
        <v>0</v>
      </c>
    </row>
    <row r="166" spans="1:9" hidden="1" x14ac:dyDescent="0.3">
      <c r="A166" t="s">
        <v>204</v>
      </c>
      <c r="B166" t="s">
        <v>37</v>
      </c>
      <c r="D166" t="s">
        <v>32</v>
      </c>
      <c r="F166" t="s">
        <v>33</v>
      </c>
      <c r="G166" s="2">
        <v>13821.83</v>
      </c>
      <c r="H166" t="s">
        <v>15</v>
      </c>
      <c r="I166">
        <v>30</v>
      </c>
    </row>
    <row r="167" spans="1:9" hidden="1" x14ac:dyDescent="0.3">
      <c r="A167" t="s">
        <v>205</v>
      </c>
      <c r="B167" t="s">
        <v>52</v>
      </c>
      <c r="D167" t="s">
        <v>56</v>
      </c>
      <c r="F167" t="s">
        <v>57</v>
      </c>
      <c r="G167" s="2">
        <v>14143.01</v>
      </c>
      <c r="H167" t="s">
        <v>15</v>
      </c>
      <c r="I167">
        <v>32</v>
      </c>
    </row>
    <row r="168" spans="1:9" hidden="1" x14ac:dyDescent="0.3">
      <c r="A168" t="s">
        <v>206</v>
      </c>
      <c r="B168" t="s">
        <v>27</v>
      </c>
      <c r="D168" t="s">
        <v>9</v>
      </c>
      <c r="F168" t="s">
        <v>10</v>
      </c>
      <c r="G168" s="2">
        <v>8990.65</v>
      </c>
      <c r="H168" t="s">
        <v>47</v>
      </c>
      <c r="I168">
        <v>48</v>
      </c>
    </row>
    <row r="169" spans="1:9" hidden="1" x14ac:dyDescent="0.3">
      <c r="A169" t="s">
        <v>207</v>
      </c>
      <c r="B169" t="s">
        <v>37</v>
      </c>
      <c r="D169" t="s">
        <v>32</v>
      </c>
      <c r="F169" t="s">
        <v>33</v>
      </c>
      <c r="G169" s="2">
        <v>3793</v>
      </c>
      <c r="H169" t="s">
        <v>11</v>
      </c>
      <c r="I169">
        <v>0</v>
      </c>
    </row>
    <row r="170" spans="1:9" hidden="1" x14ac:dyDescent="0.3">
      <c r="A170" t="s">
        <v>208</v>
      </c>
      <c r="B170" t="s">
        <v>46</v>
      </c>
      <c r="D170" t="s">
        <v>32</v>
      </c>
      <c r="F170" t="s">
        <v>33</v>
      </c>
      <c r="G170" s="2">
        <v>651.46</v>
      </c>
      <c r="H170" t="s">
        <v>35</v>
      </c>
      <c r="I170">
        <v>31</v>
      </c>
    </row>
    <row r="171" spans="1:9" x14ac:dyDescent="0.3">
      <c r="A171" t="s">
        <v>209</v>
      </c>
      <c r="B171" t="s">
        <v>52</v>
      </c>
      <c r="D171" t="s">
        <v>40</v>
      </c>
      <c r="F171" t="s">
        <v>41</v>
      </c>
      <c r="G171" s="2">
        <v>13745.29</v>
      </c>
      <c r="H171" t="s">
        <v>11</v>
      </c>
      <c r="I171">
        <v>10</v>
      </c>
    </row>
    <row r="172" spans="1:9" hidden="1" x14ac:dyDescent="0.3">
      <c r="A172" t="s">
        <v>210</v>
      </c>
      <c r="B172" t="s">
        <v>8</v>
      </c>
      <c r="D172" t="s">
        <v>9</v>
      </c>
      <c r="F172" t="s">
        <v>10</v>
      </c>
      <c r="G172" s="2">
        <v>7076.66</v>
      </c>
      <c r="H172" t="s">
        <v>15</v>
      </c>
      <c r="I172">
        <v>21</v>
      </c>
    </row>
    <row r="173" spans="1:9" hidden="1" x14ac:dyDescent="0.3">
      <c r="A173" t="s">
        <v>211</v>
      </c>
      <c r="B173" t="s">
        <v>31</v>
      </c>
      <c r="D173" t="s">
        <v>24</v>
      </c>
      <c r="F173" t="s">
        <v>25</v>
      </c>
      <c r="G173" s="2">
        <v>4980.5600000000004</v>
      </c>
      <c r="H173" t="s">
        <v>20</v>
      </c>
      <c r="I173">
        <v>19</v>
      </c>
    </row>
    <row r="174" spans="1:9" hidden="1" x14ac:dyDescent="0.3">
      <c r="A174" t="s">
        <v>212</v>
      </c>
      <c r="B174" t="s">
        <v>8</v>
      </c>
      <c r="D174" t="s">
        <v>13</v>
      </c>
      <c r="F174" t="s">
        <v>14</v>
      </c>
      <c r="G174" s="2">
        <v>598.62</v>
      </c>
      <c r="H174" t="s">
        <v>11</v>
      </c>
      <c r="I174">
        <v>0</v>
      </c>
    </row>
    <row r="175" spans="1:9" hidden="1" x14ac:dyDescent="0.3">
      <c r="A175" t="s">
        <v>213</v>
      </c>
      <c r="B175" t="s">
        <v>46</v>
      </c>
      <c r="D175" t="s">
        <v>56</v>
      </c>
      <c r="F175" t="s">
        <v>57</v>
      </c>
      <c r="G175" s="2">
        <v>12980.41</v>
      </c>
      <c r="H175" t="s">
        <v>35</v>
      </c>
      <c r="I175">
        <v>1</v>
      </c>
    </row>
    <row r="176" spans="1:9" x14ac:dyDescent="0.3">
      <c r="A176" t="s">
        <v>214</v>
      </c>
      <c r="B176" t="s">
        <v>52</v>
      </c>
      <c r="D176" t="s">
        <v>40</v>
      </c>
      <c r="F176" t="s">
        <v>41</v>
      </c>
      <c r="G176" s="2">
        <v>6228.05</v>
      </c>
      <c r="H176" t="s">
        <v>11</v>
      </c>
      <c r="I176">
        <v>6</v>
      </c>
    </row>
    <row r="177" spans="1:9" hidden="1" x14ac:dyDescent="0.3">
      <c r="A177" t="s">
        <v>215</v>
      </c>
      <c r="B177" t="s">
        <v>37</v>
      </c>
      <c r="D177" t="s">
        <v>99</v>
      </c>
      <c r="F177" t="s">
        <v>29</v>
      </c>
      <c r="G177" s="2">
        <v>3093.2</v>
      </c>
      <c r="H177" t="s">
        <v>15</v>
      </c>
      <c r="I177">
        <v>60</v>
      </c>
    </row>
    <row r="178" spans="1:9" x14ac:dyDescent="0.3">
      <c r="A178" t="s">
        <v>216</v>
      </c>
      <c r="B178" t="s">
        <v>54</v>
      </c>
      <c r="D178" t="s">
        <v>40</v>
      </c>
      <c r="F178" t="s">
        <v>41</v>
      </c>
      <c r="G178" s="2">
        <v>13218.66</v>
      </c>
      <c r="H178" t="s">
        <v>15</v>
      </c>
      <c r="I178">
        <v>2</v>
      </c>
    </row>
    <row r="179" spans="1:9" hidden="1" x14ac:dyDescent="0.3">
      <c r="A179" t="s">
        <v>217</v>
      </c>
      <c r="B179" t="s">
        <v>46</v>
      </c>
      <c r="D179" t="s">
        <v>18</v>
      </c>
      <c r="F179" t="s">
        <v>19</v>
      </c>
      <c r="G179" s="2">
        <v>10661.25</v>
      </c>
      <c r="H179" t="s">
        <v>15</v>
      </c>
      <c r="I179">
        <v>1</v>
      </c>
    </row>
    <row r="180" spans="1:9" hidden="1" x14ac:dyDescent="0.3">
      <c r="A180" t="s">
        <v>218</v>
      </c>
      <c r="B180" t="s">
        <v>8</v>
      </c>
      <c r="D180" t="s">
        <v>56</v>
      </c>
      <c r="F180" t="s">
        <v>57</v>
      </c>
      <c r="G180" s="2">
        <v>1443.48</v>
      </c>
      <c r="H180" t="s">
        <v>47</v>
      </c>
      <c r="I180">
        <v>59</v>
      </c>
    </row>
    <row r="181" spans="1:9" x14ac:dyDescent="0.3">
      <c r="A181" t="s">
        <v>219</v>
      </c>
      <c r="B181" t="s">
        <v>52</v>
      </c>
      <c r="D181" t="s">
        <v>40</v>
      </c>
      <c r="F181" t="s">
        <v>41</v>
      </c>
      <c r="G181" s="2">
        <v>14208.56</v>
      </c>
      <c r="H181" t="s">
        <v>20</v>
      </c>
      <c r="I181">
        <v>10</v>
      </c>
    </row>
    <row r="182" spans="1:9" hidden="1" x14ac:dyDescent="0.3">
      <c r="A182" t="s">
        <v>220</v>
      </c>
      <c r="B182" t="s">
        <v>52</v>
      </c>
      <c r="D182" t="s">
        <v>62</v>
      </c>
      <c r="F182" t="s">
        <v>19</v>
      </c>
      <c r="G182" s="2">
        <v>7657.64</v>
      </c>
      <c r="H182" t="s">
        <v>11</v>
      </c>
      <c r="I182">
        <v>14</v>
      </c>
    </row>
    <row r="183" spans="1:9" hidden="1" x14ac:dyDescent="0.3">
      <c r="A183" t="s">
        <v>221</v>
      </c>
      <c r="B183" t="s">
        <v>8</v>
      </c>
      <c r="D183" t="s">
        <v>18</v>
      </c>
      <c r="F183" t="s">
        <v>19</v>
      </c>
      <c r="G183" s="2">
        <v>6878.96</v>
      </c>
      <c r="H183" t="s">
        <v>11</v>
      </c>
      <c r="I183">
        <v>0</v>
      </c>
    </row>
    <row r="184" spans="1:9" hidden="1" x14ac:dyDescent="0.3">
      <c r="A184" t="s">
        <v>222</v>
      </c>
      <c r="B184" t="s">
        <v>46</v>
      </c>
      <c r="D184" t="s">
        <v>62</v>
      </c>
      <c r="F184" t="s">
        <v>19</v>
      </c>
      <c r="G184" s="2">
        <v>11601.49</v>
      </c>
      <c r="H184" t="s">
        <v>35</v>
      </c>
      <c r="I184">
        <v>22</v>
      </c>
    </row>
    <row r="185" spans="1:9" hidden="1" x14ac:dyDescent="0.3">
      <c r="A185" t="s">
        <v>223</v>
      </c>
      <c r="B185" t="s">
        <v>54</v>
      </c>
      <c r="D185" t="s">
        <v>62</v>
      </c>
      <c r="F185" t="s">
        <v>19</v>
      </c>
      <c r="G185" s="2">
        <v>12317.21</v>
      </c>
      <c r="H185" t="s">
        <v>15</v>
      </c>
      <c r="I185">
        <v>20</v>
      </c>
    </row>
    <row r="186" spans="1:9" hidden="1" x14ac:dyDescent="0.3">
      <c r="A186" t="s">
        <v>224</v>
      </c>
      <c r="B186" t="s">
        <v>52</v>
      </c>
      <c r="D186" t="s">
        <v>32</v>
      </c>
      <c r="F186" t="s">
        <v>33</v>
      </c>
      <c r="G186" s="2">
        <v>14983.59</v>
      </c>
      <c r="H186" t="s">
        <v>15</v>
      </c>
      <c r="I186">
        <v>10</v>
      </c>
    </row>
    <row r="187" spans="1:9" hidden="1" x14ac:dyDescent="0.3">
      <c r="A187" t="s">
        <v>225</v>
      </c>
      <c r="B187" t="s">
        <v>46</v>
      </c>
      <c r="D187" t="s">
        <v>13</v>
      </c>
      <c r="F187" t="s">
        <v>14</v>
      </c>
      <c r="G187" s="2">
        <v>7290.9</v>
      </c>
      <c r="H187" t="s">
        <v>15</v>
      </c>
      <c r="I187">
        <v>49</v>
      </c>
    </row>
    <row r="188" spans="1:9" hidden="1" x14ac:dyDescent="0.3">
      <c r="A188" t="s">
        <v>226</v>
      </c>
      <c r="B188" t="s">
        <v>17</v>
      </c>
      <c r="D188" t="s">
        <v>56</v>
      </c>
      <c r="F188" t="s">
        <v>57</v>
      </c>
      <c r="G188" s="2">
        <v>6857.4</v>
      </c>
      <c r="H188" t="s">
        <v>15</v>
      </c>
      <c r="I188">
        <v>13</v>
      </c>
    </row>
    <row r="189" spans="1:9" hidden="1" x14ac:dyDescent="0.3">
      <c r="A189" t="s">
        <v>227</v>
      </c>
      <c r="B189" t="s">
        <v>22</v>
      </c>
      <c r="D189" t="s">
        <v>32</v>
      </c>
      <c r="F189" t="s">
        <v>33</v>
      </c>
      <c r="G189" s="2">
        <v>5775.41</v>
      </c>
      <c r="H189" t="s">
        <v>35</v>
      </c>
      <c r="I189">
        <v>27</v>
      </c>
    </row>
    <row r="190" spans="1:9" hidden="1" x14ac:dyDescent="0.3">
      <c r="A190" t="s">
        <v>228</v>
      </c>
      <c r="B190" t="s">
        <v>31</v>
      </c>
      <c r="D190" t="s">
        <v>28</v>
      </c>
      <c r="F190" t="s">
        <v>29</v>
      </c>
      <c r="G190" s="2">
        <v>11183.34</v>
      </c>
      <c r="H190" t="s">
        <v>20</v>
      </c>
      <c r="I190">
        <v>52</v>
      </c>
    </row>
    <row r="191" spans="1:9" hidden="1" x14ac:dyDescent="0.3">
      <c r="A191" t="s">
        <v>229</v>
      </c>
      <c r="B191" t="s">
        <v>44</v>
      </c>
      <c r="D191" t="s">
        <v>56</v>
      </c>
      <c r="F191" t="s">
        <v>57</v>
      </c>
      <c r="G191" s="2">
        <v>14826.79</v>
      </c>
      <c r="H191" t="s">
        <v>35</v>
      </c>
      <c r="I191">
        <v>42</v>
      </c>
    </row>
    <row r="192" spans="1:9" x14ac:dyDescent="0.3">
      <c r="A192" t="s">
        <v>230</v>
      </c>
      <c r="B192" t="s">
        <v>8</v>
      </c>
      <c r="D192" t="s">
        <v>40</v>
      </c>
      <c r="F192" t="s">
        <v>41</v>
      </c>
      <c r="G192" s="2">
        <v>14474.13</v>
      </c>
      <c r="H192" t="s">
        <v>11</v>
      </c>
      <c r="I192">
        <v>0</v>
      </c>
    </row>
    <row r="193" spans="1:9" x14ac:dyDescent="0.3">
      <c r="A193" t="s">
        <v>231</v>
      </c>
      <c r="B193" t="s">
        <v>44</v>
      </c>
      <c r="D193" t="s">
        <v>40</v>
      </c>
      <c r="F193" t="s">
        <v>41</v>
      </c>
      <c r="G193" s="2">
        <v>1540.69</v>
      </c>
      <c r="H193" t="s">
        <v>47</v>
      </c>
      <c r="I193">
        <v>1</v>
      </c>
    </row>
    <row r="194" spans="1:9" hidden="1" x14ac:dyDescent="0.3">
      <c r="A194" t="s">
        <v>232</v>
      </c>
      <c r="B194" t="s">
        <v>52</v>
      </c>
      <c r="D194" t="s">
        <v>56</v>
      </c>
      <c r="F194" t="s">
        <v>57</v>
      </c>
      <c r="G194" s="2">
        <v>13070.45</v>
      </c>
      <c r="H194" t="s">
        <v>47</v>
      </c>
      <c r="I194">
        <v>5</v>
      </c>
    </row>
    <row r="195" spans="1:9" hidden="1" x14ac:dyDescent="0.3">
      <c r="A195" t="s">
        <v>233</v>
      </c>
      <c r="B195" t="s">
        <v>8</v>
      </c>
      <c r="D195" t="s">
        <v>62</v>
      </c>
      <c r="F195" t="s">
        <v>19</v>
      </c>
      <c r="G195" s="2">
        <v>5111.49</v>
      </c>
      <c r="H195" t="s">
        <v>20</v>
      </c>
      <c r="I195">
        <v>42</v>
      </c>
    </row>
    <row r="196" spans="1:9" hidden="1" x14ac:dyDescent="0.3">
      <c r="A196" t="s">
        <v>234</v>
      </c>
      <c r="B196" t="s">
        <v>27</v>
      </c>
      <c r="D196" t="s">
        <v>28</v>
      </c>
      <c r="F196" t="s">
        <v>29</v>
      </c>
      <c r="G196" s="2">
        <v>12792.5</v>
      </c>
      <c r="H196" t="s">
        <v>35</v>
      </c>
      <c r="I196">
        <v>25</v>
      </c>
    </row>
    <row r="197" spans="1:9" x14ac:dyDescent="0.3">
      <c r="A197" t="s">
        <v>235</v>
      </c>
      <c r="B197" t="s">
        <v>37</v>
      </c>
      <c r="D197" t="s">
        <v>40</v>
      </c>
      <c r="F197" t="s">
        <v>41</v>
      </c>
      <c r="G197" s="2">
        <v>13092.13</v>
      </c>
      <c r="H197" t="s">
        <v>11</v>
      </c>
      <c r="I197">
        <v>0</v>
      </c>
    </row>
    <row r="198" spans="1:9" hidden="1" x14ac:dyDescent="0.3">
      <c r="A198" t="s">
        <v>236</v>
      </c>
      <c r="B198" t="s">
        <v>8</v>
      </c>
      <c r="D198" t="s">
        <v>18</v>
      </c>
      <c r="F198" t="s">
        <v>19</v>
      </c>
      <c r="G198" s="2">
        <v>11214.16</v>
      </c>
      <c r="H198" t="s">
        <v>15</v>
      </c>
      <c r="I198">
        <v>7</v>
      </c>
    </row>
    <row r="199" spans="1:9" x14ac:dyDescent="0.3">
      <c r="A199" t="s">
        <v>237</v>
      </c>
      <c r="B199" t="s">
        <v>22</v>
      </c>
      <c r="D199" t="s">
        <v>40</v>
      </c>
      <c r="F199" t="s">
        <v>41</v>
      </c>
      <c r="G199" s="2">
        <v>2537.15</v>
      </c>
      <c r="H199" t="s">
        <v>15</v>
      </c>
      <c r="I199">
        <v>2</v>
      </c>
    </row>
    <row r="200" spans="1:9" hidden="1" x14ac:dyDescent="0.3">
      <c r="A200" t="s">
        <v>238</v>
      </c>
      <c r="B200" t="s">
        <v>31</v>
      </c>
      <c r="D200" t="s">
        <v>28</v>
      </c>
      <c r="F200" t="s">
        <v>29</v>
      </c>
      <c r="G200" s="2">
        <v>11952.34</v>
      </c>
      <c r="H200" t="s">
        <v>15</v>
      </c>
      <c r="I200">
        <v>24</v>
      </c>
    </row>
    <row r="201" spans="1:9" hidden="1" x14ac:dyDescent="0.3">
      <c r="A201" t="s">
        <v>239</v>
      </c>
      <c r="B201" t="s">
        <v>44</v>
      </c>
      <c r="D201" t="s">
        <v>24</v>
      </c>
      <c r="F201" t="s">
        <v>25</v>
      </c>
      <c r="G201" s="2">
        <v>3700.75</v>
      </c>
      <c r="H201" t="s">
        <v>15</v>
      </c>
      <c r="I201">
        <v>44</v>
      </c>
    </row>
    <row r="202" spans="1:9" hidden="1" x14ac:dyDescent="0.3">
      <c r="A202" t="s">
        <v>240</v>
      </c>
      <c r="B202" t="s">
        <v>54</v>
      </c>
      <c r="D202" t="s">
        <v>24</v>
      </c>
      <c r="F202" t="s">
        <v>25</v>
      </c>
      <c r="G202" s="2">
        <v>2667.29</v>
      </c>
      <c r="H202" t="s">
        <v>20</v>
      </c>
      <c r="I202">
        <v>25</v>
      </c>
    </row>
    <row r="203" spans="1:9" hidden="1" x14ac:dyDescent="0.3">
      <c r="A203" t="s">
        <v>241</v>
      </c>
      <c r="B203" t="s">
        <v>52</v>
      </c>
      <c r="D203" t="s">
        <v>18</v>
      </c>
      <c r="F203" t="s">
        <v>19</v>
      </c>
      <c r="G203" s="2">
        <v>7490.13</v>
      </c>
      <c r="H203" t="s">
        <v>20</v>
      </c>
      <c r="I203">
        <v>15</v>
      </c>
    </row>
    <row r="204" spans="1:9" hidden="1" x14ac:dyDescent="0.3">
      <c r="A204" t="s">
        <v>242</v>
      </c>
      <c r="B204" t="s">
        <v>52</v>
      </c>
      <c r="D204" t="s">
        <v>62</v>
      </c>
      <c r="F204" t="s">
        <v>19</v>
      </c>
      <c r="G204" s="2">
        <v>6920.58</v>
      </c>
      <c r="H204" t="s">
        <v>20</v>
      </c>
      <c r="I204">
        <v>58</v>
      </c>
    </row>
    <row r="205" spans="1:9" hidden="1" x14ac:dyDescent="0.3">
      <c r="A205" t="s">
        <v>243</v>
      </c>
      <c r="B205" t="s">
        <v>54</v>
      </c>
      <c r="D205" t="s">
        <v>62</v>
      </c>
      <c r="F205" t="s">
        <v>19</v>
      </c>
      <c r="G205" s="2">
        <v>10180.280000000001</v>
      </c>
      <c r="H205" t="s">
        <v>11</v>
      </c>
      <c r="I205">
        <v>0</v>
      </c>
    </row>
    <row r="206" spans="1:9" hidden="1" x14ac:dyDescent="0.3">
      <c r="A206" t="s">
        <v>244</v>
      </c>
      <c r="B206" t="s">
        <v>52</v>
      </c>
      <c r="D206" t="s">
        <v>62</v>
      </c>
      <c r="F206" t="s">
        <v>19</v>
      </c>
      <c r="G206" s="2">
        <v>9602.1299999999992</v>
      </c>
      <c r="H206" t="s">
        <v>15</v>
      </c>
      <c r="I206">
        <v>17</v>
      </c>
    </row>
    <row r="207" spans="1:9" hidden="1" x14ac:dyDescent="0.3">
      <c r="A207" t="s">
        <v>245</v>
      </c>
      <c r="B207" t="s">
        <v>8</v>
      </c>
      <c r="D207" t="s">
        <v>62</v>
      </c>
      <c r="F207" t="s">
        <v>19</v>
      </c>
      <c r="G207" s="2">
        <v>3028.29</v>
      </c>
      <c r="H207" t="s">
        <v>15</v>
      </c>
      <c r="I207">
        <v>31</v>
      </c>
    </row>
    <row r="208" spans="1:9" hidden="1" x14ac:dyDescent="0.3">
      <c r="A208" t="s">
        <v>246</v>
      </c>
      <c r="B208" t="s">
        <v>37</v>
      </c>
      <c r="D208" t="s">
        <v>18</v>
      </c>
      <c r="F208" t="s">
        <v>19</v>
      </c>
      <c r="G208" s="2">
        <v>5751.4</v>
      </c>
      <c r="H208" t="s">
        <v>15</v>
      </c>
      <c r="I208">
        <v>19</v>
      </c>
    </row>
    <row r="209" spans="1:9" hidden="1" x14ac:dyDescent="0.3">
      <c r="A209" t="s">
        <v>247</v>
      </c>
      <c r="B209" t="s">
        <v>22</v>
      </c>
      <c r="D209" t="s">
        <v>99</v>
      </c>
      <c r="F209" t="s">
        <v>29</v>
      </c>
      <c r="G209" s="2">
        <v>14670.27</v>
      </c>
      <c r="H209" t="s">
        <v>20</v>
      </c>
      <c r="I209">
        <v>18</v>
      </c>
    </row>
    <row r="210" spans="1:9" hidden="1" x14ac:dyDescent="0.3">
      <c r="A210" t="s">
        <v>248</v>
      </c>
      <c r="B210" t="s">
        <v>54</v>
      </c>
      <c r="D210" t="s">
        <v>32</v>
      </c>
      <c r="F210" t="s">
        <v>33</v>
      </c>
      <c r="G210" s="2">
        <v>12982.76</v>
      </c>
      <c r="H210" t="s">
        <v>35</v>
      </c>
      <c r="I210">
        <v>4</v>
      </c>
    </row>
    <row r="211" spans="1:9" x14ac:dyDescent="0.3">
      <c r="A211" t="s">
        <v>249</v>
      </c>
      <c r="B211" t="s">
        <v>17</v>
      </c>
      <c r="D211" t="s">
        <v>40</v>
      </c>
      <c r="F211" t="s">
        <v>41</v>
      </c>
      <c r="G211" s="2">
        <v>12500.94</v>
      </c>
      <c r="H211" t="s">
        <v>47</v>
      </c>
      <c r="I211">
        <v>50</v>
      </c>
    </row>
    <row r="212" spans="1:9" hidden="1" x14ac:dyDescent="0.3">
      <c r="A212" t="s">
        <v>250</v>
      </c>
      <c r="B212" t="s">
        <v>44</v>
      </c>
      <c r="D212" t="s">
        <v>32</v>
      </c>
      <c r="F212" t="s">
        <v>33</v>
      </c>
      <c r="G212" s="2">
        <v>12038.88</v>
      </c>
      <c r="H212" t="s">
        <v>11</v>
      </c>
      <c r="I212">
        <v>0</v>
      </c>
    </row>
    <row r="213" spans="1:9" hidden="1" x14ac:dyDescent="0.3">
      <c r="A213" t="s">
        <v>251</v>
      </c>
      <c r="B213" t="s">
        <v>52</v>
      </c>
      <c r="D213" t="s">
        <v>9</v>
      </c>
      <c r="F213" t="s">
        <v>10</v>
      </c>
      <c r="G213" s="2">
        <v>13555.89</v>
      </c>
      <c r="H213" t="s">
        <v>20</v>
      </c>
      <c r="I213">
        <v>20</v>
      </c>
    </row>
    <row r="214" spans="1:9" hidden="1" x14ac:dyDescent="0.3">
      <c r="A214" t="s">
        <v>252</v>
      </c>
      <c r="B214" t="s">
        <v>37</v>
      </c>
      <c r="D214" t="s">
        <v>99</v>
      </c>
      <c r="F214" t="s">
        <v>29</v>
      </c>
      <c r="G214" s="2">
        <v>8714.6299999999992</v>
      </c>
      <c r="H214" t="s">
        <v>35</v>
      </c>
      <c r="I214">
        <v>6</v>
      </c>
    </row>
    <row r="215" spans="1:9" hidden="1" x14ac:dyDescent="0.3">
      <c r="A215" t="s">
        <v>253</v>
      </c>
      <c r="B215" t="s">
        <v>46</v>
      </c>
      <c r="D215" t="s">
        <v>28</v>
      </c>
      <c r="F215" t="s">
        <v>29</v>
      </c>
      <c r="G215" s="2">
        <v>11224.84</v>
      </c>
      <c r="H215" t="s">
        <v>11</v>
      </c>
      <c r="I215">
        <v>0</v>
      </c>
    </row>
    <row r="216" spans="1:9" hidden="1" x14ac:dyDescent="0.3">
      <c r="A216" t="s">
        <v>254</v>
      </c>
      <c r="B216" t="s">
        <v>52</v>
      </c>
      <c r="D216" t="s">
        <v>13</v>
      </c>
      <c r="F216" t="s">
        <v>14</v>
      </c>
      <c r="G216" s="2">
        <v>13706.63</v>
      </c>
      <c r="H216" t="s">
        <v>35</v>
      </c>
      <c r="I216">
        <v>17</v>
      </c>
    </row>
    <row r="217" spans="1:9" hidden="1" x14ac:dyDescent="0.3">
      <c r="A217" t="s">
        <v>255</v>
      </c>
      <c r="B217" t="s">
        <v>52</v>
      </c>
      <c r="D217" t="s">
        <v>62</v>
      </c>
      <c r="F217" t="s">
        <v>19</v>
      </c>
      <c r="G217" s="2">
        <v>11211.06</v>
      </c>
      <c r="H217" t="s">
        <v>15</v>
      </c>
      <c r="I217">
        <v>8</v>
      </c>
    </row>
    <row r="218" spans="1:9" hidden="1" x14ac:dyDescent="0.3">
      <c r="A218" t="s">
        <v>256</v>
      </c>
      <c r="B218" t="s">
        <v>31</v>
      </c>
      <c r="D218" t="s">
        <v>9</v>
      </c>
      <c r="F218" t="s">
        <v>10</v>
      </c>
      <c r="G218" s="2">
        <v>2154.3200000000002</v>
      </c>
      <c r="H218" t="s">
        <v>47</v>
      </c>
      <c r="I218">
        <v>56</v>
      </c>
    </row>
    <row r="219" spans="1:9" hidden="1" x14ac:dyDescent="0.3">
      <c r="A219" t="s">
        <v>257</v>
      </c>
      <c r="B219" t="s">
        <v>37</v>
      </c>
      <c r="D219" t="s">
        <v>13</v>
      </c>
      <c r="F219" t="s">
        <v>14</v>
      </c>
      <c r="G219" s="2">
        <v>5518.34</v>
      </c>
      <c r="H219" t="s">
        <v>35</v>
      </c>
      <c r="I219">
        <v>1</v>
      </c>
    </row>
    <row r="220" spans="1:9" hidden="1" x14ac:dyDescent="0.3">
      <c r="A220" t="s">
        <v>258</v>
      </c>
      <c r="B220" t="s">
        <v>37</v>
      </c>
      <c r="D220" t="s">
        <v>13</v>
      </c>
      <c r="F220" t="s">
        <v>14</v>
      </c>
      <c r="G220" s="2">
        <v>1897.65</v>
      </c>
      <c r="H220" t="s">
        <v>15</v>
      </c>
      <c r="I220">
        <v>48</v>
      </c>
    </row>
    <row r="221" spans="1:9" hidden="1" x14ac:dyDescent="0.3">
      <c r="A221" t="s">
        <v>259</v>
      </c>
      <c r="B221" t="s">
        <v>8</v>
      </c>
      <c r="D221" t="s">
        <v>32</v>
      </c>
      <c r="F221" t="s">
        <v>33</v>
      </c>
      <c r="G221" s="2">
        <v>5746.33</v>
      </c>
      <c r="H221" t="s">
        <v>20</v>
      </c>
      <c r="I221">
        <v>24</v>
      </c>
    </row>
    <row r="222" spans="1:9" hidden="1" x14ac:dyDescent="0.3">
      <c r="A222" t="s">
        <v>260</v>
      </c>
      <c r="B222" t="s">
        <v>27</v>
      </c>
      <c r="D222" t="s">
        <v>18</v>
      </c>
      <c r="F222" t="s">
        <v>19</v>
      </c>
      <c r="G222" s="2">
        <v>7098.58</v>
      </c>
      <c r="H222" t="s">
        <v>20</v>
      </c>
      <c r="I222">
        <v>36</v>
      </c>
    </row>
    <row r="223" spans="1:9" hidden="1" x14ac:dyDescent="0.3">
      <c r="A223" t="s">
        <v>261</v>
      </c>
      <c r="B223" t="s">
        <v>37</v>
      </c>
      <c r="D223" t="s">
        <v>32</v>
      </c>
      <c r="F223" t="s">
        <v>33</v>
      </c>
      <c r="G223" s="2">
        <v>3359.44</v>
      </c>
      <c r="H223" t="s">
        <v>11</v>
      </c>
      <c r="I223">
        <v>14</v>
      </c>
    </row>
    <row r="224" spans="1:9" hidden="1" x14ac:dyDescent="0.3">
      <c r="A224" t="s">
        <v>262</v>
      </c>
      <c r="B224" t="s">
        <v>52</v>
      </c>
      <c r="D224" t="s">
        <v>56</v>
      </c>
      <c r="F224" t="s">
        <v>57</v>
      </c>
      <c r="G224" s="2">
        <v>1794.31</v>
      </c>
      <c r="H224" t="s">
        <v>11</v>
      </c>
      <c r="I224">
        <v>0</v>
      </c>
    </row>
    <row r="225" spans="1:9" hidden="1" x14ac:dyDescent="0.3">
      <c r="A225" t="s">
        <v>263</v>
      </c>
      <c r="B225" t="s">
        <v>31</v>
      </c>
      <c r="D225" t="s">
        <v>9</v>
      </c>
      <c r="F225" t="s">
        <v>10</v>
      </c>
      <c r="G225" s="2">
        <v>1503.02</v>
      </c>
      <c r="H225" t="s">
        <v>47</v>
      </c>
      <c r="I225">
        <v>9</v>
      </c>
    </row>
    <row r="226" spans="1:9" x14ac:dyDescent="0.3">
      <c r="A226" t="s">
        <v>264</v>
      </c>
      <c r="B226" t="s">
        <v>46</v>
      </c>
      <c r="D226" t="s">
        <v>40</v>
      </c>
      <c r="F226" t="s">
        <v>41</v>
      </c>
      <c r="G226" s="2">
        <v>5596.62</v>
      </c>
      <c r="H226" t="s">
        <v>47</v>
      </c>
      <c r="I226">
        <v>45</v>
      </c>
    </row>
    <row r="227" spans="1:9" hidden="1" x14ac:dyDescent="0.3">
      <c r="A227" t="s">
        <v>265</v>
      </c>
      <c r="B227" t="s">
        <v>31</v>
      </c>
      <c r="D227" t="s">
        <v>56</v>
      </c>
      <c r="F227" t="s">
        <v>57</v>
      </c>
      <c r="G227" s="2">
        <v>8830.74</v>
      </c>
      <c r="H227" t="s">
        <v>35</v>
      </c>
      <c r="I227">
        <v>57</v>
      </c>
    </row>
    <row r="228" spans="1:9" hidden="1" x14ac:dyDescent="0.3">
      <c r="A228" t="s">
        <v>266</v>
      </c>
      <c r="B228" t="s">
        <v>22</v>
      </c>
      <c r="D228" t="s">
        <v>9</v>
      </c>
      <c r="F228" t="s">
        <v>10</v>
      </c>
      <c r="G228" s="2">
        <v>12513.71</v>
      </c>
      <c r="H228" t="s">
        <v>20</v>
      </c>
      <c r="I228">
        <v>18</v>
      </c>
    </row>
    <row r="229" spans="1:9" hidden="1" x14ac:dyDescent="0.3">
      <c r="A229" t="s">
        <v>267</v>
      </c>
      <c r="B229" t="s">
        <v>27</v>
      </c>
      <c r="D229" t="s">
        <v>28</v>
      </c>
      <c r="F229" t="s">
        <v>29</v>
      </c>
      <c r="G229" s="2">
        <v>3298.18</v>
      </c>
      <c r="H229" t="s">
        <v>15</v>
      </c>
      <c r="I229">
        <v>16</v>
      </c>
    </row>
    <row r="230" spans="1:9" hidden="1" x14ac:dyDescent="0.3">
      <c r="A230" t="s">
        <v>268</v>
      </c>
      <c r="B230" t="s">
        <v>27</v>
      </c>
      <c r="D230" t="s">
        <v>9</v>
      </c>
      <c r="F230" t="s">
        <v>10</v>
      </c>
      <c r="G230" s="2">
        <v>14714.87</v>
      </c>
      <c r="H230" t="s">
        <v>15</v>
      </c>
      <c r="I230">
        <v>58</v>
      </c>
    </row>
    <row r="231" spans="1:9" hidden="1" x14ac:dyDescent="0.3">
      <c r="A231" t="s">
        <v>269</v>
      </c>
      <c r="B231" t="s">
        <v>8</v>
      </c>
      <c r="D231" t="s">
        <v>99</v>
      </c>
      <c r="F231" t="s">
        <v>29</v>
      </c>
      <c r="G231" s="2">
        <v>6002.19</v>
      </c>
      <c r="H231" t="s">
        <v>11</v>
      </c>
      <c r="I231">
        <v>2</v>
      </c>
    </row>
    <row r="232" spans="1:9" hidden="1" x14ac:dyDescent="0.3">
      <c r="A232" t="s">
        <v>270</v>
      </c>
      <c r="B232" t="s">
        <v>22</v>
      </c>
      <c r="D232" t="s">
        <v>18</v>
      </c>
      <c r="F232" t="s">
        <v>19</v>
      </c>
      <c r="G232" s="2">
        <v>9643.48</v>
      </c>
      <c r="H232" t="s">
        <v>20</v>
      </c>
      <c r="I232">
        <v>2</v>
      </c>
    </row>
    <row r="233" spans="1:9" hidden="1" x14ac:dyDescent="0.3">
      <c r="A233" t="s">
        <v>271</v>
      </c>
      <c r="B233" t="s">
        <v>8</v>
      </c>
      <c r="D233" t="s">
        <v>28</v>
      </c>
      <c r="F233" t="s">
        <v>29</v>
      </c>
      <c r="G233" s="2">
        <v>3691.36</v>
      </c>
      <c r="H233" t="s">
        <v>11</v>
      </c>
      <c r="I233">
        <v>0</v>
      </c>
    </row>
    <row r="234" spans="1:9" hidden="1" x14ac:dyDescent="0.3">
      <c r="A234" t="s">
        <v>272</v>
      </c>
      <c r="B234" t="s">
        <v>27</v>
      </c>
      <c r="D234" t="s">
        <v>13</v>
      </c>
      <c r="F234" t="s">
        <v>14</v>
      </c>
      <c r="G234" s="2">
        <v>3147</v>
      </c>
      <c r="H234" t="s">
        <v>11</v>
      </c>
      <c r="I234">
        <v>0</v>
      </c>
    </row>
    <row r="235" spans="1:9" hidden="1" x14ac:dyDescent="0.3">
      <c r="A235" t="s">
        <v>273</v>
      </c>
      <c r="B235" t="s">
        <v>44</v>
      </c>
      <c r="D235" t="s">
        <v>24</v>
      </c>
      <c r="F235" t="s">
        <v>25</v>
      </c>
      <c r="G235" s="2">
        <v>11840.22</v>
      </c>
      <c r="H235" t="s">
        <v>20</v>
      </c>
      <c r="I235">
        <v>18</v>
      </c>
    </row>
    <row r="236" spans="1:9" hidden="1" x14ac:dyDescent="0.3">
      <c r="A236" t="s">
        <v>274</v>
      </c>
      <c r="B236" t="s">
        <v>22</v>
      </c>
      <c r="D236" t="s">
        <v>24</v>
      </c>
      <c r="F236" t="s">
        <v>25</v>
      </c>
      <c r="G236" s="2">
        <v>8126.22</v>
      </c>
      <c r="H236" t="s">
        <v>35</v>
      </c>
      <c r="I236">
        <v>8</v>
      </c>
    </row>
    <row r="237" spans="1:9" hidden="1" x14ac:dyDescent="0.3">
      <c r="A237" t="s">
        <v>275</v>
      </c>
      <c r="B237" t="s">
        <v>54</v>
      </c>
      <c r="D237" t="s">
        <v>24</v>
      </c>
      <c r="F237" t="s">
        <v>25</v>
      </c>
      <c r="G237" s="2">
        <v>272.16000000000003</v>
      </c>
      <c r="H237" t="s">
        <v>35</v>
      </c>
      <c r="I237">
        <v>16</v>
      </c>
    </row>
    <row r="238" spans="1:9" hidden="1" x14ac:dyDescent="0.3">
      <c r="A238" t="s">
        <v>276</v>
      </c>
      <c r="B238" t="s">
        <v>46</v>
      </c>
      <c r="D238" t="s">
        <v>28</v>
      </c>
      <c r="F238" t="s">
        <v>29</v>
      </c>
      <c r="G238" s="2">
        <v>285.93</v>
      </c>
      <c r="H238" t="s">
        <v>11</v>
      </c>
      <c r="I238">
        <v>3</v>
      </c>
    </row>
    <row r="239" spans="1:9" hidden="1" x14ac:dyDescent="0.3">
      <c r="A239" t="s">
        <v>277</v>
      </c>
      <c r="B239" t="s">
        <v>27</v>
      </c>
      <c r="D239" t="s">
        <v>9</v>
      </c>
      <c r="F239" t="s">
        <v>10</v>
      </c>
      <c r="G239" s="2">
        <v>11197.7</v>
      </c>
      <c r="H239" t="s">
        <v>15</v>
      </c>
      <c r="I239">
        <v>50</v>
      </c>
    </row>
    <row r="240" spans="1:9" hidden="1" x14ac:dyDescent="0.3">
      <c r="A240" t="s">
        <v>278</v>
      </c>
      <c r="B240" t="s">
        <v>54</v>
      </c>
      <c r="D240" t="s">
        <v>13</v>
      </c>
      <c r="F240" t="s">
        <v>14</v>
      </c>
      <c r="G240" s="2">
        <v>8925.31</v>
      </c>
      <c r="H240" t="s">
        <v>15</v>
      </c>
      <c r="I240">
        <v>15</v>
      </c>
    </row>
    <row r="241" spans="1:9" hidden="1" x14ac:dyDescent="0.3">
      <c r="A241" t="s">
        <v>279</v>
      </c>
      <c r="B241" t="s">
        <v>46</v>
      </c>
      <c r="D241" t="s">
        <v>99</v>
      </c>
      <c r="F241" t="s">
        <v>29</v>
      </c>
      <c r="G241" s="2">
        <v>10922.28</v>
      </c>
      <c r="H241" t="s">
        <v>47</v>
      </c>
      <c r="I241">
        <v>43</v>
      </c>
    </row>
    <row r="242" spans="1:9" hidden="1" x14ac:dyDescent="0.3">
      <c r="A242" t="s">
        <v>280</v>
      </c>
      <c r="B242" t="s">
        <v>52</v>
      </c>
      <c r="D242" t="s">
        <v>62</v>
      </c>
      <c r="F242" t="s">
        <v>19</v>
      </c>
      <c r="G242" s="2">
        <v>6897.74</v>
      </c>
      <c r="H242" t="s">
        <v>47</v>
      </c>
      <c r="I242">
        <v>4</v>
      </c>
    </row>
    <row r="243" spans="1:9" hidden="1" x14ac:dyDescent="0.3">
      <c r="A243" t="s">
        <v>281</v>
      </c>
      <c r="B243" t="s">
        <v>8</v>
      </c>
      <c r="D243" t="s">
        <v>56</v>
      </c>
      <c r="F243" t="s">
        <v>57</v>
      </c>
      <c r="G243" s="2">
        <v>6422.79</v>
      </c>
      <c r="H243" t="s">
        <v>11</v>
      </c>
      <c r="I243">
        <v>12</v>
      </c>
    </row>
    <row r="244" spans="1:9" hidden="1" x14ac:dyDescent="0.3">
      <c r="A244" t="s">
        <v>282</v>
      </c>
      <c r="B244" t="s">
        <v>54</v>
      </c>
      <c r="D244" t="s">
        <v>9</v>
      </c>
      <c r="F244" t="s">
        <v>10</v>
      </c>
      <c r="G244" s="2">
        <v>4865.57</v>
      </c>
      <c r="H244" t="s">
        <v>11</v>
      </c>
      <c r="I244">
        <v>0</v>
      </c>
    </row>
    <row r="245" spans="1:9" hidden="1" x14ac:dyDescent="0.3">
      <c r="A245" t="s">
        <v>283</v>
      </c>
      <c r="B245" t="s">
        <v>46</v>
      </c>
      <c r="D245" t="s">
        <v>32</v>
      </c>
      <c r="F245" t="s">
        <v>33</v>
      </c>
      <c r="G245" s="2">
        <v>8247.93</v>
      </c>
      <c r="H245" t="s">
        <v>15</v>
      </c>
      <c r="I245">
        <v>39</v>
      </c>
    </row>
    <row r="246" spans="1:9" hidden="1" x14ac:dyDescent="0.3">
      <c r="A246" t="s">
        <v>284</v>
      </c>
      <c r="B246" t="s">
        <v>8</v>
      </c>
      <c r="D246" t="s">
        <v>62</v>
      </c>
      <c r="F246" t="s">
        <v>19</v>
      </c>
      <c r="G246" s="2">
        <v>6833.05</v>
      </c>
      <c r="H246" t="s">
        <v>20</v>
      </c>
      <c r="I246">
        <v>7</v>
      </c>
    </row>
    <row r="247" spans="1:9" hidden="1" x14ac:dyDescent="0.3">
      <c r="A247" t="s">
        <v>285</v>
      </c>
      <c r="B247" t="s">
        <v>31</v>
      </c>
      <c r="D247" t="s">
        <v>13</v>
      </c>
      <c r="F247" t="s">
        <v>14</v>
      </c>
      <c r="G247" s="2">
        <v>10826.56</v>
      </c>
      <c r="H247" t="s">
        <v>11</v>
      </c>
      <c r="I247">
        <v>0</v>
      </c>
    </row>
    <row r="248" spans="1:9" hidden="1" x14ac:dyDescent="0.3">
      <c r="A248" t="s">
        <v>286</v>
      </c>
      <c r="B248" t="s">
        <v>8</v>
      </c>
      <c r="D248" t="s">
        <v>28</v>
      </c>
      <c r="F248" t="s">
        <v>29</v>
      </c>
      <c r="G248" s="2">
        <v>12419.92</v>
      </c>
      <c r="H248" t="s">
        <v>15</v>
      </c>
      <c r="I248">
        <v>47</v>
      </c>
    </row>
    <row r="249" spans="1:9" hidden="1" x14ac:dyDescent="0.3">
      <c r="A249" t="s">
        <v>287</v>
      </c>
      <c r="B249" t="s">
        <v>44</v>
      </c>
      <c r="D249" t="s">
        <v>28</v>
      </c>
      <c r="F249" t="s">
        <v>29</v>
      </c>
      <c r="G249" s="2">
        <v>6430.12</v>
      </c>
      <c r="H249" t="s">
        <v>20</v>
      </c>
      <c r="I249">
        <v>24</v>
      </c>
    </row>
    <row r="250" spans="1:9" x14ac:dyDescent="0.3">
      <c r="A250" t="s">
        <v>288</v>
      </c>
      <c r="B250" t="s">
        <v>31</v>
      </c>
      <c r="D250" t="s">
        <v>40</v>
      </c>
      <c r="F250" t="s">
        <v>41</v>
      </c>
      <c r="G250" s="2">
        <v>1053.6400000000001</v>
      </c>
      <c r="H250" t="s">
        <v>35</v>
      </c>
      <c r="I250">
        <v>6</v>
      </c>
    </row>
    <row r="251" spans="1:9" hidden="1" x14ac:dyDescent="0.3">
      <c r="A251" t="s">
        <v>289</v>
      </c>
      <c r="B251" t="s">
        <v>46</v>
      </c>
      <c r="D251" t="s">
        <v>9</v>
      </c>
      <c r="F251" t="s">
        <v>10</v>
      </c>
      <c r="G251" s="2">
        <v>11181.61</v>
      </c>
      <c r="H251" t="s">
        <v>15</v>
      </c>
      <c r="I251">
        <v>9</v>
      </c>
    </row>
    <row r="252" spans="1:9" hidden="1" x14ac:dyDescent="0.3">
      <c r="A252" t="s">
        <v>290</v>
      </c>
      <c r="B252" t="s">
        <v>8</v>
      </c>
      <c r="D252" t="s">
        <v>99</v>
      </c>
      <c r="F252" t="s">
        <v>29</v>
      </c>
      <c r="G252" s="2">
        <v>8817.65</v>
      </c>
      <c r="H252" t="s">
        <v>20</v>
      </c>
      <c r="I252">
        <v>22</v>
      </c>
    </row>
    <row r="253" spans="1:9" hidden="1" x14ac:dyDescent="0.3">
      <c r="A253" t="s">
        <v>291</v>
      </c>
      <c r="B253" t="s">
        <v>31</v>
      </c>
      <c r="D253" t="s">
        <v>56</v>
      </c>
      <c r="F253" t="s">
        <v>57</v>
      </c>
      <c r="G253" s="2">
        <v>5336.29</v>
      </c>
      <c r="H253" t="s">
        <v>20</v>
      </c>
      <c r="I253">
        <v>49</v>
      </c>
    </row>
    <row r="254" spans="1:9" hidden="1" x14ac:dyDescent="0.3">
      <c r="A254" t="s">
        <v>292</v>
      </c>
      <c r="B254" t="s">
        <v>8</v>
      </c>
      <c r="D254" t="s">
        <v>99</v>
      </c>
      <c r="F254" t="s">
        <v>29</v>
      </c>
      <c r="G254" s="2">
        <v>14527.56</v>
      </c>
      <c r="H254" t="s">
        <v>20</v>
      </c>
      <c r="I254">
        <v>23</v>
      </c>
    </row>
    <row r="255" spans="1:9" hidden="1" x14ac:dyDescent="0.3">
      <c r="A255" t="s">
        <v>293</v>
      </c>
      <c r="B255" t="s">
        <v>8</v>
      </c>
      <c r="D255" t="s">
        <v>32</v>
      </c>
      <c r="F255" t="s">
        <v>33</v>
      </c>
      <c r="G255" s="2">
        <v>7635.82</v>
      </c>
      <c r="H255" t="s">
        <v>11</v>
      </c>
      <c r="I255">
        <v>0</v>
      </c>
    </row>
    <row r="256" spans="1:9" hidden="1" x14ac:dyDescent="0.3">
      <c r="A256" t="s">
        <v>294</v>
      </c>
      <c r="B256" t="s">
        <v>37</v>
      </c>
      <c r="D256" t="s">
        <v>28</v>
      </c>
      <c r="F256" t="s">
        <v>29</v>
      </c>
      <c r="G256" s="2">
        <v>12688.33</v>
      </c>
      <c r="H256" t="s">
        <v>15</v>
      </c>
      <c r="I256">
        <v>49</v>
      </c>
    </row>
    <row r="257" spans="1:9" hidden="1" x14ac:dyDescent="0.3">
      <c r="A257" t="s">
        <v>295</v>
      </c>
      <c r="B257" t="s">
        <v>54</v>
      </c>
      <c r="D257" t="s">
        <v>32</v>
      </c>
      <c r="F257" t="s">
        <v>33</v>
      </c>
      <c r="G257" s="2">
        <v>3431.08</v>
      </c>
      <c r="H257" t="s">
        <v>15</v>
      </c>
      <c r="I257">
        <v>36</v>
      </c>
    </row>
    <row r="258" spans="1:9" hidden="1" x14ac:dyDescent="0.3">
      <c r="A258" t="s">
        <v>296</v>
      </c>
      <c r="B258" t="s">
        <v>37</v>
      </c>
      <c r="D258" t="s">
        <v>32</v>
      </c>
      <c r="F258" t="s">
        <v>33</v>
      </c>
      <c r="G258" s="2">
        <v>10140.9</v>
      </c>
      <c r="H258" t="s">
        <v>20</v>
      </c>
      <c r="I258">
        <v>39</v>
      </c>
    </row>
    <row r="259" spans="1:9" hidden="1" x14ac:dyDescent="0.3">
      <c r="A259" t="s">
        <v>297</v>
      </c>
      <c r="B259" t="s">
        <v>27</v>
      </c>
      <c r="D259" t="s">
        <v>99</v>
      </c>
      <c r="F259" t="s">
        <v>29</v>
      </c>
      <c r="G259" s="2">
        <v>2747.22</v>
      </c>
      <c r="H259" t="s">
        <v>20</v>
      </c>
      <c r="I259">
        <v>20</v>
      </c>
    </row>
    <row r="260" spans="1:9" hidden="1" x14ac:dyDescent="0.3">
      <c r="A260" t="s">
        <v>298</v>
      </c>
      <c r="B260" t="s">
        <v>31</v>
      </c>
      <c r="D260" t="s">
        <v>28</v>
      </c>
      <c r="F260" t="s">
        <v>29</v>
      </c>
      <c r="G260" s="2">
        <v>141.28</v>
      </c>
      <c r="H260" t="s">
        <v>35</v>
      </c>
      <c r="I260">
        <v>37</v>
      </c>
    </row>
    <row r="261" spans="1:9" hidden="1" x14ac:dyDescent="0.3">
      <c r="A261" t="s">
        <v>299</v>
      </c>
      <c r="B261" t="s">
        <v>8</v>
      </c>
      <c r="D261" t="s">
        <v>9</v>
      </c>
      <c r="F261" t="s">
        <v>10</v>
      </c>
      <c r="G261" s="2">
        <v>2171.0300000000002</v>
      </c>
      <c r="H261" t="s">
        <v>20</v>
      </c>
      <c r="I261">
        <v>2</v>
      </c>
    </row>
    <row r="262" spans="1:9" hidden="1" x14ac:dyDescent="0.3">
      <c r="A262" t="s">
        <v>300</v>
      </c>
      <c r="B262" t="s">
        <v>44</v>
      </c>
      <c r="D262" t="s">
        <v>13</v>
      </c>
      <c r="F262" t="s">
        <v>14</v>
      </c>
      <c r="G262" s="2">
        <v>3266.24</v>
      </c>
      <c r="H262" t="s">
        <v>15</v>
      </c>
      <c r="I262">
        <v>22</v>
      </c>
    </row>
    <row r="263" spans="1:9" hidden="1" x14ac:dyDescent="0.3">
      <c r="A263" t="s">
        <v>301</v>
      </c>
      <c r="B263" t="s">
        <v>54</v>
      </c>
      <c r="D263" t="s">
        <v>28</v>
      </c>
      <c r="F263" t="s">
        <v>29</v>
      </c>
      <c r="G263" s="2">
        <v>4708.9799999999996</v>
      </c>
      <c r="H263" t="s">
        <v>15</v>
      </c>
      <c r="I263">
        <v>37</v>
      </c>
    </row>
    <row r="264" spans="1:9" hidden="1" x14ac:dyDescent="0.3">
      <c r="A264" t="s">
        <v>302</v>
      </c>
      <c r="B264" t="s">
        <v>8</v>
      </c>
      <c r="D264" t="s">
        <v>9</v>
      </c>
      <c r="F264" t="s">
        <v>10</v>
      </c>
      <c r="G264" s="2">
        <v>13255.97</v>
      </c>
      <c r="H264" t="s">
        <v>11</v>
      </c>
      <c r="I264">
        <v>0</v>
      </c>
    </row>
    <row r="265" spans="1:9" hidden="1" x14ac:dyDescent="0.3">
      <c r="A265" t="s">
        <v>303</v>
      </c>
      <c r="B265" t="s">
        <v>52</v>
      </c>
      <c r="D265" t="s">
        <v>62</v>
      </c>
      <c r="F265" t="s">
        <v>19</v>
      </c>
      <c r="G265" s="2">
        <v>6674.54</v>
      </c>
      <c r="H265" t="s">
        <v>15</v>
      </c>
      <c r="I265">
        <v>39</v>
      </c>
    </row>
    <row r="266" spans="1:9" hidden="1" x14ac:dyDescent="0.3">
      <c r="A266" t="s">
        <v>304</v>
      </c>
      <c r="B266" t="s">
        <v>27</v>
      </c>
      <c r="D266" t="s">
        <v>56</v>
      </c>
      <c r="F266" t="s">
        <v>57</v>
      </c>
      <c r="G266" s="2">
        <v>4133.84</v>
      </c>
      <c r="H266" t="s">
        <v>35</v>
      </c>
      <c r="I266">
        <v>8</v>
      </c>
    </row>
    <row r="267" spans="1:9" hidden="1" x14ac:dyDescent="0.3">
      <c r="A267" t="s">
        <v>305</v>
      </c>
      <c r="B267" t="s">
        <v>52</v>
      </c>
      <c r="D267" t="s">
        <v>56</v>
      </c>
      <c r="F267" t="s">
        <v>57</v>
      </c>
      <c r="G267" s="2">
        <v>1707.8</v>
      </c>
      <c r="H267" t="s">
        <v>20</v>
      </c>
      <c r="I267">
        <v>38</v>
      </c>
    </row>
    <row r="268" spans="1:9" hidden="1" x14ac:dyDescent="0.3">
      <c r="A268" t="s">
        <v>306</v>
      </c>
      <c r="B268" t="s">
        <v>22</v>
      </c>
      <c r="D268" t="s">
        <v>13</v>
      </c>
      <c r="F268" t="s">
        <v>14</v>
      </c>
      <c r="G268" s="2">
        <v>10023.629999999999</v>
      </c>
      <c r="H268" t="s">
        <v>11</v>
      </c>
      <c r="I268">
        <v>0</v>
      </c>
    </row>
    <row r="269" spans="1:9" hidden="1" x14ac:dyDescent="0.3">
      <c r="A269" t="s">
        <v>307</v>
      </c>
      <c r="B269" t="s">
        <v>37</v>
      </c>
      <c r="D269" t="s">
        <v>18</v>
      </c>
      <c r="F269" t="s">
        <v>19</v>
      </c>
      <c r="G269" s="2">
        <v>4556.22</v>
      </c>
      <c r="H269" t="s">
        <v>11</v>
      </c>
      <c r="I269">
        <v>0</v>
      </c>
    </row>
    <row r="270" spans="1:9" hidden="1" x14ac:dyDescent="0.3">
      <c r="A270" t="s">
        <v>308</v>
      </c>
      <c r="B270" t="s">
        <v>44</v>
      </c>
      <c r="D270" t="s">
        <v>28</v>
      </c>
      <c r="F270" t="s">
        <v>29</v>
      </c>
      <c r="G270" s="2">
        <v>1843.77</v>
      </c>
      <c r="H270" t="s">
        <v>15</v>
      </c>
      <c r="I270">
        <v>28</v>
      </c>
    </row>
    <row r="271" spans="1:9" hidden="1" x14ac:dyDescent="0.3">
      <c r="A271" t="s">
        <v>309</v>
      </c>
      <c r="B271" t="s">
        <v>46</v>
      </c>
      <c r="D271" t="s">
        <v>24</v>
      </c>
      <c r="F271" t="s">
        <v>25</v>
      </c>
      <c r="G271" s="2">
        <v>5734.1</v>
      </c>
      <c r="H271" t="s">
        <v>20</v>
      </c>
      <c r="I271">
        <v>33</v>
      </c>
    </row>
    <row r="272" spans="1:9" hidden="1" x14ac:dyDescent="0.3">
      <c r="A272" t="s">
        <v>310</v>
      </c>
      <c r="B272" t="s">
        <v>31</v>
      </c>
      <c r="D272" t="s">
        <v>28</v>
      </c>
      <c r="F272" t="s">
        <v>29</v>
      </c>
      <c r="G272" s="2">
        <v>1127.53</v>
      </c>
      <c r="H272" t="s">
        <v>35</v>
      </c>
      <c r="I272">
        <v>3</v>
      </c>
    </row>
    <row r="273" spans="1:9" hidden="1" x14ac:dyDescent="0.3">
      <c r="A273" t="s">
        <v>311</v>
      </c>
      <c r="B273" t="s">
        <v>54</v>
      </c>
      <c r="D273" t="s">
        <v>99</v>
      </c>
      <c r="F273" t="s">
        <v>29</v>
      </c>
      <c r="G273" s="2">
        <v>6923.33</v>
      </c>
      <c r="H273" t="s">
        <v>11</v>
      </c>
      <c r="I273">
        <v>6</v>
      </c>
    </row>
    <row r="274" spans="1:9" hidden="1" x14ac:dyDescent="0.3">
      <c r="A274" t="s">
        <v>312</v>
      </c>
      <c r="B274" t="s">
        <v>31</v>
      </c>
      <c r="D274" t="s">
        <v>56</v>
      </c>
      <c r="F274" t="s">
        <v>57</v>
      </c>
      <c r="G274" s="2">
        <v>10657.01</v>
      </c>
      <c r="H274" t="s">
        <v>15</v>
      </c>
      <c r="I274">
        <v>8</v>
      </c>
    </row>
    <row r="275" spans="1:9" hidden="1" x14ac:dyDescent="0.3">
      <c r="A275" t="s">
        <v>313</v>
      </c>
      <c r="B275" t="s">
        <v>27</v>
      </c>
      <c r="D275" t="s">
        <v>99</v>
      </c>
      <c r="F275" t="s">
        <v>29</v>
      </c>
      <c r="G275" s="2">
        <v>14494.69</v>
      </c>
      <c r="H275" t="s">
        <v>11</v>
      </c>
      <c r="I275">
        <v>10</v>
      </c>
    </row>
    <row r="276" spans="1:9" hidden="1" x14ac:dyDescent="0.3">
      <c r="A276" t="s">
        <v>314</v>
      </c>
      <c r="B276" t="s">
        <v>46</v>
      </c>
      <c r="D276" t="s">
        <v>9</v>
      </c>
      <c r="F276" t="s">
        <v>10</v>
      </c>
      <c r="G276" s="2">
        <v>6578.84</v>
      </c>
      <c r="H276" t="s">
        <v>11</v>
      </c>
      <c r="I276">
        <v>7</v>
      </c>
    </row>
    <row r="277" spans="1:9" hidden="1" x14ac:dyDescent="0.3">
      <c r="A277" t="s">
        <v>315</v>
      </c>
      <c r="B277" t="s">
        <v>17</v>
      </c>
      <c r="D277" t="s">
        <v>9</v>
      </c>
      <c r="F277" t="s">
        <v>10</v>
      </c>
      <c r="G277" s="2">
        <v>5966.71</v>
      </c>
      <c r="H277" t="s">
        <v>15</v>
      </c>
      <c r="I277">
        <v>22</v>
      </c>
    </row>
    <row r="278" spans="1:9" hidden="1" x14ac:dyDescent="0.3">
      <c r="A278" t="s">
        <v>316</v>
      </c>
      <c r="B278" t="s">
        <v>46</v>
      </c>
      <c r="D278" t="s">
        <v>28</v>
      </c>
      <c r="F278" t="s">
        <v>29</v>
      </c>
      <c r="G278" s="2">
        <v>11697.81</v>
      </c>
      <c r="H278" t="s">
        <v>11</v>
      </c>
      <c r="I278">
        <v>0</v>
      </c>
    </row>
    <row r="279" spans="1:9" hidden="1" x14ac:dyDescent="0.3">
      <c r="A279" t="s">
        <v>317</v>
      </c>
      <c r="B279" t="s">
        <v>44</v>
      </c>
      <c r="D279" t="s">
        <v>13</v>
      </c>
      <c r="F279" t="s">
        <v>14</v>
      </c>
      <c r="G279" s="2">
        <v>2948.86</v>
      </c>
      <c r="H279" t="s">
        <v>35</v>
      </c>
      <c r="I279">
        <v>23</v>
      </c>
    </row>
    <row r="280" spans="1:9" hidden="1" x14ac:dyDescent="0.3">
      <c r="A280" t="s">
        <v>318</v>
      </c>
      <c r="B280" t="s">
        <v>8</v>
      </c>
      <c r="D280" t="s">
        <v>18</v>
      </c>
      <c r="F280" t="s">
        <v>19</v>
      </c>
      <c r="G280" s="2">
        <v>1586.93</v>
      </c>
      <c r="H280" t="s">
        <v>11</v>
      </c>
      <c r="I280">
        <v>0</v>
      </c>
    </row>
    <row r="281" spans="1:9" hidden="1" x14ac:dyDescent="0.3">
      <c r="A281" t="s">
        <v>319</v>
      </c>
      <c r="B281" t="s">
        <v>54</v>
      </c>
      <c r="D281" t="s">
        <v>24</v>
      </c>
      <c r="F281" t="s">
        <v>25</v>
      </c>
      <c r="G281" s="2">
        <v>14271.82</v>
      </c>
      <c r="H281" t="s">
        <v>20</v>
      </c>
      <c r="I281">
        <v>30</v>
      </c>
    </row>
    <row r="282" spans="1:9" hidden="1" x14ac:dyDescent="0.3">
      <c r="A282" t="s">
        <v>320</v>
      </c>
      <c r="B282" t="s">
        <v>54</v>
      </c>
      <c r="D282" t="s">
        <v>32</v>
      </c>
      <c r="F282" t="s">
        <v>33</v>
      </c>
      <c r="G282" s="2">
        <v>6761.13</v>
      </c>
      <c r="H282" t="s">
        <v>47</v>
      </c>
      <c r="I282">
        <v>37</v>
      </c>
    </row>
    <row r="283" spans="1:9" hidden="1" x14ac:dyDescent="0.3">
      <c r="A283" t="s">
        <v>321</v>
      </c>
      <c r="B283" t="s">
        <v>52</v>
      </c>
      <c r="D283" t="s">
        <v>28</v>
      </c>
      <c r="F283" t="s">
        <v>29</v>
      </c>
      <c r="G283" s="2">
        <v>12970.49</v>
      </c>
      <c r="H283" t="s">
        <v>20</v>
      </c>
      <c r="I283">
        <v>10</v>
      </c>
    </row>
    <row r="284" spans="1:9" hidden="1" x14ac:dyDescent="0.3">
      <c r="A284" t="s">
        <v>322</v>
      </c>
      <c r="B284" t="s">
        <v>37</v>
      </c>
      <c r="D284" t="s">
        <v>9</v>
      </c>
      <c r="F284" t="s">
        <v>10</v>
      </c>
      <c r="G284" s="2">
        <v>7060.37</v>
      </c>
      <c r="H284" t="s">
        <v>20</v>
      </c>
      <c r="I284">
        <v>51</v>
      </c>
    </row>
    <row r="285" spans="1:9" hidden="1" x14ac:dyDescent="0.3">
      <c r="A285" t="s">
        <v>323</v>
      </c>
      <c r="B285" t="s">
        <v>52</v>
      </c>
      <c r="D285" t="s">
        <v>32</v>
      </c>
      <c r="F285" t="s">
        <v>33</v>
      </c>
      <c r="G285" s="2">
        <v>889.77</v>
      </c>
      <c r="H285" t="s">
        <v>15</v>
      </c>
      <c r="I285">
        <v>20</v>
      </c>
    </row>
    <row r="286" spans="1:9" x14ac:dyDescent="0.3">
      <c r="A286" t="s">
        <v>324</v>
      </c>
      <c r="B286" t="s">
        <v>8</v>
      </c>
      <c r="D286" t="s">
        <v>40</v>
      </c>
      <c r="F286" t="s">
        <v>41</v>
      </c>
      <c r="G286" s="2">
        <v>612.23</v>
      </c>
      <c r="H286" t="s">
        <v>15</v>
      </c>
      <c r="I286">
        <v>19</v>
      </c>
    </row>
    <row r="287" spans="1:9" hidden="1" x14ac:dyDescent="0.3">
      <c r="A287" t="s">
        <v>325</v>
      </c>
      <c r="B287" t="s">
        <v>54</v>
      </c>
      <c r="D287" t="s">
        <v>9</v>
      </c>
      <c r="F287" t="s">
        <v>10</v>
      </c>
      <c r="G287" s="2">
        <v>9244.3799999999992</v>
      </c>
      <c r="H287" t="s">
        <v>15</v>
      </c>
      <c r="I287">
        <v>30</v>
      </c>
    </row>
    <row r="288" spans="1:9" hidden="1" x14ac:dyDescent="0.3">
      <c r="A288" t="s">
        <v>326</v>
      </c>
      <c r="B288" t="s">
        <v>52</v>
      </c>
      <c r="D288" t="s">
        <v>13</v>
      </c>
      <c r="F288" t="s">
        <v>14</v>
      </c>
      <c r="G288" s="2">
        <v>14315.76</v>
      </c>
      <c r="H288" t="s">
        <v>35</v>
      </c>
      <c r="I288">
        <v>3</v>
      </c>
    </row>
    <row r="289" spans="1:9" hidden="1" x14ac:dyDescent="0.3">
      <c r="A289" t="s">
        <v>327</v>
      </c>
      <c r="B289" t="s">
        <v>46</v>
      </c>
      <c r="D289" t="s">
        <v>32</v>
      </c>
      <c r="F289" t="s">
        <v>33</v>
      </c>
      <c r="G289" s="2">
        <v>9794.9699999999993</v>
      </c>
      <c r="H289" t="s">
        <v>15</v>
      </c>
      <c r="I289">
        <v>31</v>
      </c>
    </row>
    <row r="290" spans="1:9" hidden="1" x14ac:dyDescent="0.3">
      <c r="A290" t="s">
        <v>328</v>
      </c>
      <c r="B290" t="s">
        <v>27</v>
      </c>
      <c r="D290" t="s">
        <v>24</v>
      </c>
      <c r="F290" t="s">
        <v>25</v>
      </c>
      <c r="G290" s="2">
        <v>14367.95</v>
      </c>
      <c r="H290" t="s">
        <v>15</v>
      </c>
      <c r="I290">
        <v>52</v>
      </c>
    </row>
    <row r="291" spans="1:9" hidden="1" x14ac:dyDescent="0.3">
      <c r="A291" t="s">
        <v>329</v>
      </c>
      <c r="B291" t="s">
        <v>52</v>
      </c>
      <c r="D291" t="s">
        <v>9</v>
      </c>
      <c r="F291" t="s">
        <v>10</v>
      </c>
      <c r="G291" s="2">
        <v>7593.01</v>
      </c>
      <c r="H291" t="s">
        <v>11</v>
      </c>
      <c r="I291">
        <v>4</v>
      </c>
    </row>
    <row r="292" spans="1:9" hidden="1" x14ac:dyDescent="0.3">
      <c r="A292" t="s">
        <v>330</v>
      </c>
      <c r="B292" t="s">
        <v>31</v>
      </c>
      <c r="D292" t="s">
        <v>13</v>
      </c>
      <c r="F292" t="s">
        <v>14</v>
      </c>
      <c r="G292" s="2">
        <v>7865.08</v>
      </c>
      <c r="H292" t="s">
        <v>11</v>
      </c>
      <c r="I292">
        <v>0</v>
      </c>
    </row>
    <row r="293" spans="1:9" hidden="1" x14ac:dyDescent="0.3">
      <c r="A293" t="s">
        <v>331</v>
      </c>
      <c r="B293" t="s">
        <v>27</v>
      </c>
      <c r="D293" t="s">
        <v>56</v>
      </c>
      <c r="F293" t="s">
        <v>57</v>
      </c>
      <c r="G293" s="2">
        <v>11628.25</v>
      </c>
      <c r="H293" t="s">
        <v>20</v>
      </c>
      <c r="I293">
        <v>4</v>
      </c>
    </row>
    <row r="294" spans="1:9" hidden="1" x14ac:dyDescent="0.3">
      <c r="A294" t="s">
        <v>332</v>
      </c>
      <c r="B294" t="s">
        <v>37</v>
      </c>
      <c r="D294" t="s">
        <v>9</v>
      </c>
      <c r="F294" t="s">
        <v>10</v>
      </c>
      <c r="G294" s="2">
        <v>4978.88</v>
      </c>
      <c r="H294" t="s">
        <v>20</v>
      </c>
      <c r="I294">
        <v>25</v>
      </c>
    </row>
    <row r="295" spans="1:9" hidden="1" x14ac:dyDescent="0.3">
      <c r="A295" t="s">
        <v>333</v>
      </c>
      <c r="B295" t="s">
        <v>54</v>
      </c>
      <c r="D295" t="s">
        <v>62</v>
      </c>
      <c r="F295" t="s">
        <v>19</v>
      </c>
      <c r="G295" s="2">
        <v>10869.82</v>
      </c>
      <c r="H295" t="s">
        <v>20</v>
      </c>
      <c r="I295">
        <v>59</v>
      </c>
    </row>
    <row r="296" spans="1:9" hidden="1" x14ac:dyDescent="0.3">
      <c r="A296" t="s">
        <v>334</v>
      </c>
      <c r="B296" t="s">
        <v>27</v>
      </c>
      <c r="D296" t="s">
        <v>24</v>
      </c>
      <c r="F296" t="s">
        <v>25</v>
      </c>
      <c r="G296" s="2">
        <v>5033.76</v>
      </c>
      <c r="H296" t="s">
        <v>20</v>
      </c>
      <c r="I296">
        <v>10</v>
      </c>
    </row>
    <row r="297" spans="1:9" hidden="1" x14ac:dyDescent="0.3">
      <c r="A297" t="s">
        <v>335</v>
      </c>
      <c r="B297" t="s">
        <v>44</v>
      </c>
      <c r="D297" t="s">
        <v>62</v>
      </c>
      <c r="F297" t="s">
        <v>19</v>
      </c>
      <c r="G297" s="2">
        <v>14517.06</v>
      </c>
      <c r="H297" t="s">
        <v>20</v>
      </c>
      <c r="I297">
        <v>26</v>
      </c>
    </row>
    <row r="298" spans="1:9" hidden="1" x14ac:dyDescent="0.3">
      <c r="A298" t="s">
        <v>336</v>
      </c>
      <c r="B298" t="s">
        <v>27</v>
      </c>
      <c r="D298" t="s">
        <v>32</v>
      </c>
      <c r="F298" t="s">
        <v>33</v>
      </c>
      <c r="G298" s="2">
        <v>10647.07</v>
      </c>
      <c r="H298" t="s">
        <v>11</v>
      </c>
      <c r="I298">
        <v>9</v>
      </c>
    </row>
    <row r="299" spans="1:9" hidden="1" x14ac:dyDescent="0.3">
      <c r="A299" t="s">
        <v>337</v>
      </c>
      <c r="B299" t="s">
        <v>46</v>
      </c>
      <c r="D299" t="s">
        <v>24</v>
      </c>
      <c r="F299" t="s">
        <v>25</v>
      </c>
      <c r="G299" s="2">
        <v>10068.24</v>
      </c>
      <c r="H299" t="s">
        <v>35</v>
      </c>
      <c r="I299">
        <v>48</v>
      </c>
    </row>
    <row r="300" spans="1:9" hidden="1" x14ac:dyDescent="0.3">
      <c r="A300" t="s">
        <v>338</v>
      </c>
      <c r="B300" t="s">
        <v>22</v>
      </c>
      <c r="D300" t="s">
        <v>9</v>
      </c>
      <c r="F300" t="s">
        <v>10</v>
      </c>
      <c r="G300" s="2">
        <v>9708.07</v>
      </c>
      <c r="H300" t="s">
        <v>15</v>
      </c>
      <c r="I300">
        <v>24</v>
      </c>
    </row>
    <row r="301" spans="1:9" hidden="1" x14ac:dyDescent="0.3">
      <c r="A301" t="s">
        <v>339</v>
      </c>
      <c r="B301" t="s">
        <v>52</v>
      </c>
      <c r="D301" t="s">
        <v>28</v>
      </c>
      <c r="F301" t="s">
        <v>29</v>
      </c>
      <c r="G301" s="2">
        <v>4667.55</v>
      </c>
      <c r="H301" t="s">
        <v>47</v>
      </c>
      <c r="I301">
        <v>22</v>
      </c>
    </row>
    <row r="302" spans="1:9" hidden="1" x14ac:dyDescent="0.3">
      <c r="A302" t="s">
        <v>340</v>
      </c>
      <c r="B302" t="s">
        <v>8</v>
      </c>
      <c r="D302" t="s">
        <v>18</v>
      </c>
      <c r="F302" t="s">
        <v>19</v>
      </c>
      <c r="G302" s="2">
        <v>3436.82</v>
      </c>
      <c r="H302" t="s">
        <v>11</v>
      </c>
      <c r="I302">
        <v>0</v>
      </c>
    </row>
    <row r="303" spans="1:9" hidden="1" x14ac:dyDescent="0.3">
      <c r="A303" t="s">
        <v>341</v>
      </c>
      <c r="B303" t="s">
        <v>46</v>
      </c>
      <c r="D303" t="s">
        <v>13</v>
      </c>
      <c r="F303" t="s">
        <v>14</v>
      </c>
      <c r="G303" s="2">
        <v>11574.58</v>
      </c>
      <c r="H303" t="s">
        <v>35</v>
      </c>
      <c r="I303">
        <v>57</v>
      </c>
    </row>
    <row r="304" spans="1:9" hidden="1" x14ac:dyDescent="0.3">
      <c r="A304" t="s">
        <v>342</v>
      </c>
      <c r="B304" t="s">
        <v>44</v>
      </c>
      <c r="D304" t="s">
        <v>99</v>
      </c>
      <c r="F304" t="s">
        <v>29</v>
      </c>
      <c r="G304" s="2">
        <v>9945.84</v>
      </c>
      <c r="H304" t="s">
        <v>35</v>
      </c>
      <c r="I304">
        <v>40</v>
      </c>
    </row>
    <row r="305" spans="1:9" hidden="1" x14ac:dyDescent="0.3">
      <c r="A305" t="s">
        <v>343</v>
      </c>
      <c r="B305" t="s">
        <v>52</v>
      </c>
      <c r="D305" t="s">
        <v>32</v>
      </c>
      <c r="F305" t="s">
        <v>33</v>
      </c>
      <c r="G305" s="2">
        <v>5681.96</v>
      </c>
      <c r="H305" t="s">
        <v>11</v>
      </c>
      <c r="I305">
        <v>0</v>
      </c>
    </row>
    <row r="306" spans="1:9" hidden="1" x14ac:dyDescent="0.3">
      <c r="A306" t="s">
        <v>344</v>
      </c>
      <c r="B306" t="s">
        <v>52</v>
      </c>
      <c r="D306" t="s">
        <v>99</v>
      </c>
      <c r="F306" t="s">
        <v>29</v>
      </c>
      <c r="G306" s="2">
        <v>6192.34</v>
      </c>
      <c r="H306" t="s">
        <v>20</v>
      </c>
      <c r="I306">
        <v>16</v>
      </c>
    </row>
    <row r="307" spans="1:9" hidden="1" x14ac:dyDescent="0.3">
      <c r="A307" t="s">
        <v>345</v>
      </c>
      <c r="B307" t="s">
        <v>17</v>
      </c>
      <c r="D307" t="s">
        <v>32</v>
      </c>
      <c r="F307" t="s">
        <v>33</v>
      </c>
      <c r="G307" s="2">
        <v>4309.67</v>
      </c>
      <c r="H307" t="s">
        <v>35</v>
      </c>
      <c r="I307">
        <v>29</v>
      </c>
    </row>
    <row r="308" spans="1:9" hidden="1" x14ac:dyDescent="0.3">
      <c r="A308" t="s">
        <v>346</v>
      </c>
      <c r="B308" t="s">
        <v>52</v>
      </c>
      <c r="D308" t="s">
        <v>13</v>
      </c>
      <c r="F308" t="s">
        <v>14</v>
      </c>
      <c r="G308" s="2">
        <v>3625.57</v>
      </c>
      <c r="H308" t="s">
        <v>47</v>
      </c>
      <c r="I308">
        <v>51</v>
      </c>
    </row>
    <row r="309" spans="1:9" hidden="1" x14ac:dyDescent="0.3">
      <c r="A309" t="s">
        <v>347</v>
      </c>
      <c r="B309" t="s">
        <v>52</v>
      </c>
      <c r="D309" t="s">
        <v>18</v>
      </c>
      <c r="F309" t="s">
        <v>19</v>
      </c>
      <c r="G309" s="2">
        <v>5549.22</v>
      </c>
      <c r="H309" t="s">
        <v>47</v>
      </c>
      <c r="I309">
        <v>29</v>
      </c>
    </row>
    <row r="310" spans="1:9" hidden="1" x14ac:dyDescent="0.3">
      <c r="A310" t="s">
        <v>348</v>
      </c>
      <c r="B310" t="s">
        <v>44</v>
      </c>
      <c r="D310" t="s">
        <v>62</v>
      </c>
      <c r="F310" t="s">
        <v>19</v>
      </c>
      <c r="G310" s="2">
        <v>11682.95</v>
      </c>
      <c r="H310" t="s">
        <v>15</v>
      </c>
      <c r="I310">
        <v>27</v>
      </c>
    </row>
    <row r="311" spans="1:9" hidden="1" x14ac:dyDescent="0.3">
      <c r="A311" t="s">
        <v>349</v>
      </c>
      <c r="B311" t="s">
        <v>52</v>
      </c>
      <c r="D311" t="s">
        <v>18</v>
      </c>
      <c r="F311" t="s">
        <v>19</v>
      </c>
      <c r="G311" s="2">
        <v>12028.83</v>
      </c>
      <c r="H311" t="s">
        <v>11</v>
      </c>
      <c r="I311">
        <v>0</v>
      </c>
    </row>
    <row r="312" spans="1:9" hidden="1" x14ac:dyDescent="0.3">
      <c r="A312" t="s">
        <v>350</v>
      </c>
      <c r="B312" t="s">
        <v>37</v>
      </c>
      <c r="D312" t="s">
        <v>28</v>
      </c>
      <c r="F312" t="s">
        <v>29</v>
      </c>
      <c r="G312" s="2">
        <v>8340.3799999999992</v>
      </c>
      <c r="H312" t="s">
        <v>11</v>
      </c>
      <c r="I312">
        <v>0</v>
      </c>
    </row>
    <row r="313" spans="1:9" hidden="1" x14ac:dyDescent="0.3">
      <c r="A313" t="s">
        <v>351</v>
      </c>
      <c r="B313" t="s">
        <v>31</v>
      </c>
      <c r="D313" t="s">
        <v>9</v>
      </c>
      <c r="F313" t="s">
        <v>10</v>
      </c>
      <c r="G313" s="2">
        <v>11458.6</v>
      </c>
      <c r="H313" t="s">
        <v>11</v>
      </c>
      <c r="I313">
        <v>0</v>
      </c>
    </row>
    <row r="314" spans="1:9" hidden="1" x14ac:dyDescent="0.3">
      <c r="A314" t="s">
        <v>352</v>
      </c>
      <c r="B314" t="s">
        <v>22</v>
      </c>
      <c r="D314" t="s">
        <v>9</v>
      </c>
      <c r="F314" t="s">
        <v>10</v>
      </c>
      <c r="G314" s="2">
        <v>14198.88</v>
      </c>
      <c r="H314" t="s">
        <v>11</v>
      </c>
      <c r="I314">
        <v>0</v>
      </c>
    </row>
    <row r="315" spans="1:9" hidden="1" x14ac:dyDescent="0.3">
      <c r="A315" t="s">
        <v>353</v>
      </c>
      <c r="B315" t="s">
        <v>31</v>
      </c>
      <c r="D315" t="s">
        <v>56</v>
      </c>
      <c r="F315" t="s">
        <v>57</v>
      </c>
      <c r="G315" s="2">
        <v>846.19</v>
      </c>
      <c r="H315" t="s">
        <v>15</v>
      </c>
      <c r="I315">
        <v>16</v>
      </c>
    </row>
    <row r="316" spans="1:9" hidden="1" x14ac:dyDescent="0.3">
      <c r="A316" t="s">
        <v>354</v>
      </c>
      <c r="B316" t="s">
        <v>27</v>
      </c>
      <c r="D316" t="s">
        <v>9</v>
      </c>
      <c r="F316" t="s">
        <v>10</v>
      </c>
      <c r="G316" s="2">
        <v>5654.94</v>
      </c>
      <c r="H316" t="s">
        <v>11</v>
      </c>
      <c r="I316">
        <v>0</v>
      </c>
    </row>
    <row r="317" spans="1:9" hidden="1" x14ac:dyDescent="0.3">
      <c r="A317" t="s">
        <v>355</v>
      </c>
      <c r="B317" t="s">
        <v>52</v>
      </c>
      <c r="D317" t="s">
        <v>24</v>
      </c>
      <c r="F317" t="s">
        <v>25</v>
      </c>
      <c r="G317" s="2">
        <v>2107.11</v>
      </c>
      <c r="H317" t="s">
        <v>15</v>
      </c>
      <c r="I317">
        <v>54</v>
      </c>
    </row>
    <row r="318" spans="1:9" hidden="1" x14ac:dyDescent="0.3">
      <c r="A318" t="s">
        <v>356</v>
      </c>
      <c r="B318" t="s">
        <v>22</v>
      </c>
      <c r="D318" t="s">
        <v>24</v>
      </c>
      <c r="F318" t="s">
        <v>25</v>
      </c>
      <c r="G318" s="2">
        <v>11394.68</v>
      </c>
      <c r="H318" t="s">
        <v>15</v>
      </c>
      <c r="I318">
        <v>40</v>
      </c>
    </row>
    <row r="319" spans="1:9" hidden="1" x14ac:dyDescent="0.3">
      <c r="A319" t="s">
        <v>357</v>
      </c>
      <c r="B319" t="s">
        <v>8</v>
      </c>
      <c r="D319" t="s">
        <v>9</v>
      </c>
      <c r="F319" t="s">
        <v>10</v>
      </c>
      <c r="G319" s="2">
        <v>334.11</v>
      </c>
      <c r="H319" t="s">
        <v>11</v>
      </c>
      <c r="I319">
        <v>3</v>
      </c>
    </row>
    <row r="320" spans="1:9" hidden="1" x14ac:dyDescent="0.3">
      <c r="A320" t="s">
        <v>358</v>
      </c>
      <c r="B320" t="s">
        <v>54</v>
      </c>
      <c r="D320" t="s">
        <v>62</v>
      </c>
      <c r="F320" t="s">
        <v>19</v>
      </c>
      <c r="G320" s="2">
        <v>3602.72</v>
      </c>
      <c r="H320" t="s">
        <v>11</v>
      </c>
      <c r="I320">
        <v>4</v>
      </c>
    </row>
    <row r="321" spans="1:9" x14ac:dyDescent="0.3">
      <c r="A321" t="s">
        <v>359</v>
      </c>
      <c r="B321" t="s">
        <v>54</v>
      </c>
      <c r="D321" t="s">
        <v>40</v>
      </c>
      <c r="F321" t="s">
        <v>41</v>
      </c>
      <c r="G321" s="2">
        <v>988.97</v>
      </c>
      <c r="H321" t="s">
        <v>35</v>
      </c>
      <c r="I321">
        <v>32</v>
      </c>
    </row>
    <row r="322" spans="1:9" hidden="1" x14ac:dyDescent="0.3">
      <c r="A322" t="s">
        <v>360</v>
      </c>
      <c r="B322" t="s">
        <v>44</v>
      </c>
      <c r="D322" t="s">
        <v>13</v>
      </c>
      <c r="F322" t="s">
        <v>14</v>
      </c>
      <c r="G322" s="2">
        <v>295.70999999999998</v>
      </c>
      <c r="H322" t="s">
        <v>15</v>
      </c>
      <c r="I322">
        <v>16</v>
      </c>
    </row>
    <row r="323" spans="1:9" hidden="1" x14ac:dyDescent="0.3">
      <c r="A323" t="s">
        <v>361</v>
      </c>
      <c r="B323" t="s">
        <v>54</v>
      </c>
      <c r="D323" t="s">
        <v>62</v>
      </c>
      <c r="F323" t="s">
        <v>19</v>
      </c>
      <c r="G323" s="2">
        <v>6467.12</v>
      </c>
      <c r="H323" t="s">
        <v>20</v>
      </c>
      <c r="I323">
        <v>16</v>
      </c>
    </row>
    <row r="324" spans="1:9" hidden="1" x14ac:dyDescent="0.3">
      <c r="A324" t="s">
        <v>362</v>
      </c>
      <c r="B324" t="s">
        <v>27</v>
      </c>
      <c r="D324" t="s">
        <v>56</v>
      </c>
      <c r="F324" t="s">
        <v>57</v>
      </c>
      <c r="G324" s="2">
        <v>2850.34</v>
      </c>
      <c r="H324" t="s">
        <v>20</v>
      </c>
      <c r="I324">
        <v>34</v>
      </c>
    </row>
    <row r="325" spans="1:9" hidden="1" x14ac:dyDescent="0.3">
      <c r="A325" t="s">
        <v>363</v>
      </c>
      <c r="B325" t="s">
        <v>46</v>
      </c>
      <c r="D325" t="s">
        <v>9</v>
      </c>
      <c r="F325" t="s">
        <v>10</v>
      </c>
      <c r="G325" s="2">
        <v>14303.38</v>
      </c>
      <c r="H325" t="s">
        <v>15</v>
      </c>
      <c r="I325">
        <v>51</v>
      </c>
    </row>
    <row r="326" spans="1:9" hidden="1" x14ac:dyDescent="0.3">
      <c r="A326" t="s">
        <v>364</v>
      </c>
      <c r="B326" t="s">
        <v>31</v>
      </c>
      <c r="D326" t="s">
        <v>13</v>
      </c>
      <c r="F326" t="s">
        <v>14</v>
      </c>
      <c r="G326" s="2">
        <v>354</v>
      </c>
      <c r="H326" t="s">
        <v>35</v>
      </c>
      <c r="I326">
        <v>3</v>
      </c>
    </row>
    <row r="327" spans="1:9" hidden="1" x14ac:dyDescent="0.3">
      <c r="A327" t="s">
        <v>365</v>
      </c>
      <c r="B327" t="s">
        <v>27</v>
      </c>
      <c r="D327" t="s">
        <v>28</v>
      </c>
      <c r="F327" t="s">
        <v>29</v>
      </c>
      <c r="G327" s="2">
        <v>3842.07</v>
      </c>
      <c r="H327" t="s">
        <v>11</v>
      </c>
      <c r="I327">
        <v>0</v>
      </c>
    </row>
    <row r="328" spans="1:9" hidden="1" x14ac:dyDescent="0.3">
      <c r="A328" t="s">
        <v>366</v>
      </c>
      <c r="B328" t="s">
        <v>54</v>
      </c>
      <c r="D328" t="s">
        <v>18</v>
      </c>
      <c r="F328" t="s">
        <v>19</v>
      </c>
      <c r="G328" s="2">
        <v>11007.47</v>
      </c>
      <c r="H328" t="s">
        <v>20</v>
      </c>
      <c r="I328">
        <v>50</v>
      </c>
    </row>
    <row r="329" spans="1:9" hidden="1" x14ac:dyDescent="0.3">
      <c r="A329" t="s">
        <v>367</v>
      </c>
      <c r="B329" t="s">
        <v>44</v>
      </c>
      <c r="D329" t="s">
        <v>28</v>
      </c>
      <c r="F329" t="s">
        <v>29</v>
      </c>
      <c r="G329" s="2">
        <v>2044.47</v>
      </c>
      <c r="H329" t="s">
        <v>15</v>
      </c>
      <c r="I329">
        <v>22</v>
      </c>
    </row>
    <row r="330" spans="1:9" x14ac:dyDescent="0.3">
      <c r="A330" t="s">
        <v>368</v>
      </c>
      <c r="B330" t="s">
        <v>44</v>
      </c>
      <c r="D330" t="s">
        <v>40</v>
      </c>
      <c r="F330" t="s">
        <v>41</v>
      </c>
      <c r="G330" s="2">
        <v>14713.25</v>
      </c>
      <c r="H330" t="s">
        <v>15</v>
      </c>
      <c r="I330">
        <v>12</v>
      </c>
    </row>
    <row r="331" spans="1:9" hidden="1" x14ac:dyDescent="0.3">
      <c r="A331" t="s">
        <v>369</v>
      </c>
      <c r="B331" t="s">
        <v>37</v>
      </c>
      <c r="D331" t="s">
        <v>9</v>
      </c>
      <c r="F331" t="s">
        <v>10</v>
      </c>
      <c r="G331" s="2">
        <v>10754.87</v>
      </c>
      <c r="H331" t="s">
        <v>47</v>
      </c>
      <c r="I331">
        <v>3</v>
      </c>
    </row>
    <row r="332" spans="1:9" hidden="1" x14ac:dyDescent="0.3">
      <c r="A332" t="s">
        <v>370</v>
      </c>
      <c r="B332" t="s">
        <v>37</v>
      </c>
      <c r="D332" t="s">
        <v>18</v>
      </c>
      <c r="F332" t="s">
        <v>19</v>
      </c>
      <c r="G332" s="2">
        <v>704.9</v>
      </c>
      <c r="H332" t="s">
        <v>11</v>
      </c>
      <c r="I332">
        <v>0</v>
      </c>
    </row>
    <row r="333" spans="1:9" hidden="1" x14ac:dyDescent="0.3">
      <c r="A333" t="s">
        <v>371</v>
      </c>
      <c r="B333" t="s">
        <v>37</v>
      </c>
      <c r="D333" t="s">
        <v>13</v>
      </c>
      <c r="F333" t="s">
        <v>14</v>
      </c>
      <c r="G333" s="2">
        <v>6003.45</v>
      </c>
      <c r="H333" t="s">
        <v>35</v>
      </c>
      <c r="I333">
        <v>31</v>
      </c>
    </row>
    <row r="334" spans="1:9" hidden="1" x14ac:dyDescent="0.3">
      <c r="A334" t="s">
        <v>372</v>
      </c>
      <c r="B334" t="s">
        <v>27</v>
      </c>
      <c r="D334" t="s">
        <v>99</v>
      </c>
      <c r="F334" t="s">
        <v>29</v>
      </c>
      <c r="G334" s="2">
        <v>11311.7</v>
      </c>
      <c r="H334" t="s">
        <v>11</v>
      </c>
      <c r="I334">
        <v>0</v>
      </c>
    </row>
    <row r="335" spans="1:9" hidden="1" x14ac:dyDescent="0.3">
      <c r="A335" t="s">
        <v>373</v>
      </c>
      <c r="B335" t="s">
        <v>31</v>
      </c>
      <c r="D335" t="s">
        <v>62</v>
      </c>
      <c r="F335" t="s">
        <v>19</v>
      </c>
      <c r="G335" s="2">
        <v>1910.9</v>
      </c>
      <c r="H335" t="s">
        <v>15</v>
      </c>
      <c r="I335">
        <v>57</v>
      </c>
    </row>
    <row r="336" spans="1:9" x14ac:dyDescent="0.3">
      <c r="A336" t="s">
        <v>374</v>
      </c>
      <c r="B336" t="s">
        <v>52</v>
      </c>
      <c r="D336" t="s">
        <v>40</v>
      </c>
      <c r="F336" t="s">
        <v>41</v>
      </c>
      <c r="G336" s="2">
        <v>13424.83</v>
      </c>
      <c r="H336" t="s">
        <v>15</v>
      </c>
      <c r="I336">
        <v>12</v>
      </c>
    </row>
    <row r="337" spans="1:9" x14ac:dyDescent="0.3">
      <c r="A337" t="s">
        <v>375</v>
      </c>
      <c r="B337" t="s">
        <v>8</v>
      </c>
      <c r="D337" t="s">
        <v>40</v>
      </c>
      <c r="F337" t="s">
        <v>41</v>
      </c>
      <c r="G337" s="2">
        <v>5541.84</v>
      </c>
      <c r="H337" t="s">
        <v>35</v>
      </c>
      <c r="I337">
        <v>18</v>
      </c>
    </row>
    <row r="338" spans="1:9" hidden="1" x14ac:dyDescent="0.3">
      <c r="A338" t="s">
        <v>376</v>
      </c>
      <c r="B338" t="s">
        <v>44</v>
      </c>
      <c r="D338" t="s">
        <v>56</v>
      </c>
      <c r="F338" t="s">
        <v>57</v>
      </c>
      <c r="G338" s="2">
        <v>1229.96</v>
      </c>
      <c r="H338" t="s">
        <v>20</v>
      </c>
      <c r="I338">
        <v>53</v>
      </c>
    </row>
    <row r="339" spans="1:9" hidden="1" x14ac:dyDescent="0.3">
      <c r="A339" t="s">
        <v>377</v>
      </c>
      <c r="B339" t="s">
        <v>37</v>
      </c>
      <c r="D339" t="s">
        <v>13</v>
      </c>
      <c r="F339" t="s">
        <v>14</v>
      </c>
      <c r="G339" s="2">
        <v>4441.8100000000004</v>
      </c>
      <c r="H339" t="s">
        <v>11</v>
      </c>
      <c r="I339">
        <v>0</v>
      </c>
    </row>
    <row r="340" spans="1:9" x14ac:dyDescent="0.3">
      <c r="A340" t="s">
        <v>378</v>
      </c>
      <c r="B340" t="s">
        <v>52</v>
      </c>
      <c r="D340" t="s">
        <v>40</v>
      </c>
      <c r="F340" t="s">
        <v>41</v>
      </c>
      <c r="G340" s="2">
        <v>9059.19</v>
      </c>
      <c r="H340" t="s">
        <v>15</v>
      </c>
      <c r="I340">
        <v>45</v>
      </c>
    </row>
    <row r="341" spans="1:9" hidden="1" x14ac:dyDescent="0.3">
      <c r="A341" t="s">
        <v>379</v>
      </c>
      <c r="B341" t="s">
        <v>27</v>
      </c>
      <c r="D341" t="s">
        <v>28</v>
      </c>
      <c r="F341" t="s">
        <v>29</v>
      </c>
      <c r="G341" s="2">
        <v>6734.59</v>
      </c>
      <c r="H341" t="s">
        <v>35</v>
      </c>
      <c r="I341">
        <v>59</v>
      </c>
    </row>
    <row r="342" spans="1:9" hidden="1" x14ac:dyDescent="0.3">
      <c r="A342" t="s">
        <v>380</v>
      </c>
      <c r="B342" t="s">
        <v>8</v>
      </c>
      <c r="D342" t="s">
        <v>32</v>
      </c>
      <c r="F342" t="s">
        <v>33</v>
      </c>
      <c r="G342" s="2">
        <v>14972.35</v>
      </c>
      <c r="H342" t="s">
        <v>11</v>
      </c>
      <c r="I342">
        <v>0</v>
      </c>
    </row>
    <row r="343" spans="1:9" hidden="1" x14ac:dyDescent="0.3">
      <c r="A343" t="s">
        <v>381</v>
      </c>
      <c r="B343" t="s">
        <v>44</v>
      </c>
      <c r="D343" t="s">
        <v>56</v>
      </c>
      <c r="F343" t="s">
        <v>57</v>
      </c>
      <c r="G343" s="2">
        <v>5481.5</v>
      </c>
      <c r="H343" t="s">
        <v>35</v>
      </c>
      <c r="I343">
        <v>44</v>
      </c>
    </row>
    <row r="344" spans="1:9" hidden="1" x14ac:dyDescent="0.3">
      <c r="A344" t="s">
        <v>382</v>
      </c>
      <c r="B344" t="s">
        <v>52</v>
      </c>
      <c r="D344" t="s">
        <v>99</v>
      </c>
      <c r="F344" t="s">
        <v>29</v>
      </c>
      <c r="G344" s="2">
        <v>2184.5500000000002</v>
      </c>
      <c r="H344" t="s">
        <v>20</v>
      </c>
      <c r="I344">
        <v>51</v>
      </c>
    </row>
    <row r="345" spans="1:9" hidden="1" x14ac:dyDescent="0.3">
      <c r="A345" t="s">
        <v>383</v>
      </c>
      <c r="B345" t="s">
        <v>27</v>
      </c>
      <c r="D345" t="s">
        <v>99</v>
      </c>
      <c r="F345" t="s">
        <v>29</v>
      </c>
      <c r="G345" s="2">
        <v>1937.14</v>
      </c>
      <c r="H345" t="s">
        <v>11</v>
      </c>
      <c r="I345">
        <v>0</v>
      </c>
    </row>
    <row r="346" spans="1:9" hidden="1" x14ac:dyDescent="0.3">
      <c r="A346" t="s">
        <v>384</v>
      </c>
      <c r="B346" t="s">
        <v>27</v>
      </c>
      <c r="D346" t="s">
        <v>56</v>
      </c>
      <c r="F346" t="s">
        <v>57</v>
      </c>
      <c r="G346" s="2">
        <v>14244.53</v>
      </c>
      <c r="H346" t="s">
        <v>11</v>
      </c>
      <c r="I346">
        <v>3</v>
      </c>
    </row>
    <row r="347" spans="1:9" hidden="1" x14ac:dyDescent="0.3">
      <c r="A347" t="s">
        <v>385</v>
      </c>
      <c r="B347" t="s">
        <v>31</v>
      </c>
      <c r="D347" t="s">
        <v>28</v>
      </c>
      <c r="F347" t="s">
        <v>29</v>
      </c>
      <c r="G347" s="2">
        <v>6686.89</v>
      </c>
      <c r="H347" t="s">
        <v>11</v>
      </c>
      <c r="I347">
        <v>0</v>
      </c>
    </row>
    <row r="348" spans="1:9" hidden="1" x14ac:dyDescent="0.3">
      <c r="A348" t="s">
        <v>386</v>
      </c>
      <c r="B348" t="s">
        <v>44</v>
      </c>
      <c r="D348" t="s">
        <v>28</v>
      </c>
      <c r="F348" t="s">
        <v>29</v>
      </c>
      <c r="G348" s="2">
        <v>9760.93</v>
      </c>
      <c r="H348" t="s">
        <v>11</v>
      </c>
      <c r="I348">
        <v>0</v>
      </c>
    </row>
    <row r="349" spans="1:9" x14ac:dyDescent="0.3">
      <c r="A349" t="s">
        <v>387</v>
      </c>
      <c r="B349" t="s">
        <v>37</v>
      </c>
      <c r="D349" t="s">
        <v>40</v>
      </c>
      <c r="F349" t="s">
        <v>41</v>
      </c>
      <c r="G349" s="2">
        <v>7790.29</v>
      </c>
      <c r="H349" t="s">
        <v>47</v>
      </c>
      <c r="I349">
        <v>8</v>
      </c>
    </row>
    <row r="350" spans="1:9" hidden="1" x14ac:dyDescent="0.3">
      <c r="A350" t="s">
        <v>388</v>
      </c>
      <c r="B350" t="s">
        <v>52</v>
      </c>
      <c r="D350" t="s">
        <v>62</v>
      </c>
      <c r="F350" t="s">
        <v>19</v>
      </c>
      <c r="G350" s="2">
        <v>10575.37</v>
      </c>
      <c r="H350" t="s">
        <v>11</v>
      </c>
      <c r="I350">
        <v>0</v>
      </c>
    </row>
    <row r="351" spans="1:9" hidden="1" x14ac:dyDescent="0.3">
      <c r="A351" t="s">
        <v>389</v>
      </c>
      <c r="B351" t="s">
        <v>44</v>
      </c>
      <c r="D351" t="s">
        <v>18</v>
      </c>
      <c r="F351" t="s">
        <v>19</v>
      </c>
      <c r="G351" s="2">
        <v>1883.43</v>
      </c>
      <c r="H351" t="s">
        <v>35</v>
      </c>
      <c r="I351">
        <v>29</v>
      </c>
    </row>
    <row r="352" spans="1:9" x14ac:dyDescent="0.3">
      <c r="A352" t="s">
        <v>390</v>
      </c>
      <c r="B352" t="s">
        <v>27</v>
      </c>
      <c r="D352" t="s">
        <v>40</v>
      </c>
      <c r="F352" t="s">
        <v>41</v>
      </c>
      <c r="G352" s="2">
        <v>14959.07</v>
      </c>
      <c r="H352" t="s">
        <v>35</v>
      </c>
      <c r="I352">
        <v>55</v>
      </c>
    </row>
    <row r="353" spans="1:9" hidden="1" x14ac:dyDescent="0.3">
      <c r="A353" t="s">
        <v>391</v>
      </c>
      <c r="B353" t="s">
        <v>37</v>
      </c>
      <c r="D353" t="s">
        <v>28</v>
      </c>
      <c r="F353" t="s">
        <v>29</v>
      </c>
      <c r="G353" s="2">
        <v>10657.63</v>
      </c>
      <c r="H353" t="s">
        <v>15</v>
      </c>
      <c r="I353">
        <v>19</v>
      </c>
    </row>
    <row r="354" spans="1:9" hidden="1" x14ac:dyDescent="0.3">
      <c r="A354" t="s">
        <v>392</v>
      </c>
      <c r="B354" t="s">
        <v>44</v>
      </c>
      <c r="D354" t="s">
        <v>24</v>
      </c>
      <c r="F354" t="s">
        <v>25</v>
      </c>
      <c r="G354" s="2">
        <v>10691.55</v>
      </c>
      <c r="H354" t="s">
        <v>47</v>
      </c>
      <c r="I354">
        <v>41</v>
      </c>
    </row>
    <row r="355" spans="1:9" hidden="1" x14ac:dyDescent="0.3">
      <c r="A355" t="s">
        <v>393</v>
      </c>
      <c r="B355" t="s">
        <v>17</v>
      </c>
      <c r="D355" t="s">
        <v>28</v>
      </c>
      <c r="F355" t="s">
        <v>29</v>
      </c>
      <c r="G355" s="2">
        <v>7655.9</v>
      </c>
      <c r="H355" t="s">
        <v>11</v>
      </c>
      <c r="I355">
        <v>0</v>
      </c>
    </row>
    <row r="356" spans="1:9" x14ac:dyDescent="0.3">
      <c r="A356" t="s">
        <v>394</v>
      </c>
      <c r="B356" t="s">
        <v>52</v>
      </c>
      <c r="D356" t="s">
        <v>40</v>
      </c>
      <c r="F356" t="s">
        <v>41</v>
      </c>
      <c r="G356" s="2">
        <v>442.95</v>
      </c>
      <c r="H356" t="s">
        <v>20</v>
      </c>
      <c r="I356">
        <v>24</v>
      </c>
    </row>
    <row r="357" spans="1:9" hidden="1" x14ac:dyDescent="0.3">
      <c r="A357" t="s">
        <v>395</v>
      </c>
      <c r="B357" t="s">
        <v>37</v>
      </c>
      <c r="D357" t="s">
        <v>13</v>
      </c>
      <c r="F357" t="s">
        <v>14</v>
      </c>
      <c r="G357" s="2">
        <v>1990.08</v>
      </c>
      <c r="H357" t="s">
        <v>47</v>
      </c>
      <c r="I357">
        <v>5</v>
      </c>
    </row>
    <row r="358" spans="1:9" hidden="1" x14ac:dyDescent="0.3">
      <c r="A358" t="s">
        <v>396</v>
      </c>
      <c r="B358" t="s">
        <v>31</v>
      </c>
      <c r="D358" t="s">
        <v>56</v>
      </c>
      <c r="F358" t="s">
        <v>57</v>
      </c>
      <c r="G358" s="2">
        <v>14993.95</v>
      </c>
      <c r="H358" t="s">
        <v>20</v>
      </c>
      <c r="I358">
        <v>34</v>
      </c>
    </row>
    <row r="359" spans="1:9" hidden="1" x14ac:dyDescent="0.3">
      <c r="A359" t="s">
        <v>397</v>
      </c>
      <c r="B359" t="s">
        <v>52</v>
      </c>
      <c r="D359" t="s">
        <v>56</v>
      </c>
      <c r="F359" t="s">
        <v>57</v>
      </c>
      <c r="G359" s="2">
        <v>12358.92</v>
      </c>
      <c r="H359" t="s">
        <v>11</v>
      </c>
      <c r="I359">
        <v>0</v>
      </c>
    </row>
    <row r="360" spans="1:9" x14ac:dyDescent="0.3">
      <c r="A360" t="s">
        <v>398</v>
      </c>
      <c r="B360" t="s">
        <v>46</v>
      </c>
      <c r="D360" t="s">
        <v>40</v>
      </c>
      <c r="F360" t="s">
        <v>41</v>
      </c>
      <c r="G360" s="2">
        <v>10217.629999999999</v>
      </c>
      <c r="H360" t="s">
        <v>15</v>
      </c>
      <c r="I360">
        <v>57</v>
      </c>
    </row>
    <row r="361" spans="1:9" hidden="1" x14ac:dyDescent="0.3">
      <c r="A361" t="s">
        <v>399</v>
      </c>
      <c r="B361" t="s">
        <v>46</v>
      </c>
      <c r="D361" t="s">
        <v>32</v>
      </c>
      <c r="F361" t="s">
        <v>33</v>
      </c>
      <c r="G361" s="2">
        <v>2770.35</v>
      </c>
      <c r="H361" t="s">
        <v>47</v>
      </c>
      <c r="I361">
        <v>28</v>
      </c>
    </row>
    <row r="362" spans="1:9" hidden="1" x14ac:dyDescent="0.3">
      <c r="A362" t="s">
        <v>400</v>
      </c>
      <c r="B362" t="s">
        <v>44</v>
      </c>
      <c r="D362" t="s">
        <v>99</v>
      </c>
      <c r="F362" t="s">
        <v>29</v>
      </c>
      <c r="G362" s="2">
        <v>12479.29</v>
      </c>
      <c r="H362" t="s">
        <v>15</v>
      </c>
      <c r="I362">
        <v>20</v>
      </c>
    </row>
    <row r="363" spans="1:9" hidden="1" x14ac:dyDescent="0.3">
      <c r="A363" t="s">
        <v>401</v>
      </c>
      <c r="B363" t="s">
        <v>46</v>
      </c>
      <c r="D363" t="s">
        <v>24</v>
      </c>
      <c r="F363" t="s">
        <v>25</v>
      </c>
      <c r="G363" s="2">
        <v>4873.78</v>
      </c>
      <c r="H363" t="s">
        <v>20</v>
      </c>
      <c r="I363">
        <v>23</v>
      </c>
    </row>
    <row r="364" spans="1:9" hidden="1" x14ac:dyDescent="0.3">
      <c r="A364" t="s">
        <v>402</v>
      </c>
      <c r="B364" t="s">
        <v>44</v>
      </c>
      <c r="D364" t="s">
        <v>62</v>
      </c>
      <c r="F364" t="s">
        <v>19</v>
      </c>
      <c r="G364" s="2">
        <v>12696.71</v>
      </c>
      <c r="H364" t="s">
        <v>11</v>
      </c>
      <c r="I364">
        <v>0</v>
      </c>
    </row>
    <row r="365" spans="1:9" hidden="1" x14ac:dyDescent="0.3">
      <c r="A365" t="s">
        <v>403</v>
      </c>
      <c r="B365" t="s">
        <v>54</v>
      </c>
      <c r="D365" t="s">
        <v>62</v>
      </c>
      <c r="F365" t="s">
        <v>19</v>
      </c>
      <c r="G365" s="2">
        <v>9235.7000000000007</v>
      </c>
      <c r="H365" t="s">
        <v>11</v>
      </c>
      <c r="I365">
        <v>0</v>
      </c>
    </row>
    <row r="366" spans="1:9" hidden="1" x14ac:dyDescent="0.3">
      <c r="A366" t="s">
        <v>404</v>
      </c>
      <c r="B366" t="s">
        <v>54</v>
      </c>
      <c r="D366" t="s">
        <v>32</v>
      </c>
      <c r="F366" t="s">
        <v>33</v>
      </c>
      <c r="G366" s="2">
        <v>2355.1999999999998</v>
      </c>
      <c r="H366" t="s">
        <v>20</v>
      </c>
      <c r="I366">
        <v>47</v>
      </c>
    </row>
    <row r="367" spans="1:9" hidden="1" x14ac:dyDescent="0.3">
      <c r="A367" t="s">
        <v>405</v>
      </c>
      <c r="B367" t="s">
        <v>22</v>
      </c>
      <c r="D367" t="s">
        <v>28</v>
      </c>
      <c r="F367" t="s">
        <v>29</v>
      </c>
      <c r="G367" s="2">
        <v>12645.82</v>
      </c>
      <c r="H367" t="s">
        <v>20</v>
      </c>
      <c r="I367">
        <v>53</v>
      </c>
    </row>
    <row r="368" spans="1:9" hidden="1" x14ac:dyDescent="0.3">
      <c r="A368" t="s">
        <v>406</v>
      </c>
      <c r="B368" t="s">
        <v>37</v>
      </c>
      <c r="D368" t="s">
        <v>9</v>
      </c>
      <c r="F368" t="s">
        <v>10</v>
      </c>
      <c r="G368" s="2">
        <v>729.65</v>
      </c>
      <c r="H368" t="s">
        <v>20</v>
      </c>
      <c r="I368">
        <v>37</v>
      </c>
    </row>
    <row r="369" spans="1:9" hidden="1" x14ac:dyDescent="0.3">
      <c r="A369" t="s">
        <v>407</v>
      </c>
      <c r="B369" t="s">
        <v>22</v>
      </c>
      <c r="D369" t="s">
        <v>18</v>
      </c>
      <c r="F369" t="s">
        <v>19</v>
      </c>
      <c r="G369" s="2">
        <v>11516.04</v>
      </c>
      <c r="H369" t="s">
        <v>15</v>
      </c>
      <c r="I369">
        <v>41</v>
      </c>
    </row>
    <row r="370" spans="1:9" x14ac:dyDescent="0.3">
      <c r="A370" t="s">
        <v>408</v>
      </c>
      <c r="B370" t="s">
        <v>37</v>
      </c>
      <c r="D370" t="s">
        <v>40</v>
      </c>
      <c r="F370" t="s">
        <v>41</v>
      </c>
      <c r="G370" s="2">
        <v>13340.5</v>
      </c>
      <c r="H370" t="s">
        <v>15</v>
      </c>
      <c r="I370">
        <v>42</v>
      </c>
    </row>
    <row r="371" spans="1:9" x14ac:dyDescent="0.3">
      <c r="A371" t="s">
        <v>409</v>
      </c>
      <c r="B371" t="s">
        <v>37</v>
      </c>
      <c r="D371" t="s">
        <v>40</v>
      </c>
      <c r="F371" t="s">
        <v>41</v>
      </c>
      <c r="G371" s="2">
        <v>3710.92</v>
      </c>
      <c r="H371" t="s">
        <v>35</v>
      </c>
      <c r="I371">
        <v>26</v>
      </c>
    </row>
    <row r="372" spans="1:9" x14ac:dyDescent="0.3">
      <c r="A372" t="s">
        <v>410</v>
      </c>
      <c r="B372" t="s">
        <v>52</v>
      </c>
      <c r="D372" t="s">
        <v>40</v>
      </c>
      <c r="F372" t="s">
        <v>41</v>
      </c>
      <c r="G372" s="2">
        <v>1140.95</v>
      </c>
      <c r="H372" t="s">
        <v>11</v>
      </c>
      <c r="I372">
        <v>8</v>
      </c>
    </row>
    <row r="373" spans="1:9" x14ac:dyDescent="0.3">
      <c r="A373" t="s">
        <v>411</v>
      </c>
      <c r="B373" t="s">
        <v>27</v>
      </c>
      <c r="D373" t="s">
        <v>40</v>
      </c>
      <c r="F373" t="s">
        <v>41</v>
      </c>
      <c r="G373" s="2">
        <v>3100.14</v>
      </c>
      <c r="H373" t="s">
        <v>20</v>
      </c>
      <c r="I373">
        <v>21</v>
      </c>
    </row>
    <row r="374" spans="1:9" hidden="1" x14ac:dyDescent="0.3">
      <c r="A374" t="s">
        <v>412</v>
      </c>
      <c r="B374" t="s">
        <v>27</v>
      </c>
      <c r="D374" t="s">
        <v>28</v>
      </c>
      <c r="F374" t="s">
        <v>29</v>
      </c>
      <c r="G374" s="2">
        <v>14631.84</v>
      </c>
      <c r="H374" t="s">
        <v>11</v>
      </c>
      <c r="I374">
        <v>0</v>
      </c>
    </row>
    <row r="375" spans="1:9" hidden="1" x14ac:dyDescent="0.3">
      <c r="A375" t="s">
        <v>413</v>
      </c>
      <c r="B375" t="s">
        <v>8</v>
      </c>
      <c r="D375" t="s">
        <v>18</v>
      </c>
      <c r="F375" t="s">
        <v>19</v>
      </c>
      <c r="G375" s="2">
        <v>7023.76</v>
      </c>
      <c r="H375" t="s">
        <v>11</v>
      </c>
      <c r="I375">
        <v>0</v>
      </c>
    </row>
    <row r="376" spans="1:9" hidden="1" x14ac:dyDescent="0.3">
      <c r="A376" t="s">
        <v>414</v>
      </c>
      <c r="B376" t="s">
        <v>31</v>
      </c>
      <c r="D376" t="s">
        <v>99</v>
      </c>
      <c r="F376" t="s">
        <v>29</v>
      </c>
      <c r="G376" s="2">
        <v>4388.67</v>
      </c>
      <c r="H376" t="s">
        <v>15</v>
      </c>
      <c r="I376">
        <v>40</v>
      </c>
    </row>
    <row r="377" spans="1:9" hidden="1" x14ac:dyDescent="0.3">
      <c r="A377" t="s">
        <v>415</v>
      </c>
      <c r="B377" t="s">
        <v>27</v>
      </c>
      <c r="D377" t="s">
        <v>18</v>
      </c>
      <c r="F377" t="s">
        <v>19</v>
      </c>
      <c r="G377" s="2">
        <v>14442.15</v>
      </c>
      <c r="H377" t="s">
        <v>47</v>
      </c>
      <c r="I377">
        <v>53</v>
      </c>
    </row>
    <row r="378" spans="1:9" hidden="1" x14ac:dyDescent="0.3">
      <c r="A378" t="s">
        <v>416</v>
      </c>
      <c r="B378" t="s">
        <v>46</v>
      </c>
      <c r="D378" t="s">
        <v>32</v>
      </c>
      <c r="F378" t="s">
        <v>33</v>
      </c>
      <c r="G378" s="2">
        <v>10830.87</v>
      </c>
      <c r="H378" t="s">
        <v>11</v>
      </c>
      <c r="I378">
        <v>3</v>
      </c>
    </row>
    <row r="379" spans="1:9" x14ac:dyDescent="0.3">
      <c r="A379" t="s">
        <v>417</v>
      </c>
      <c r="B379" t="s">
        <v>8</v>
      </c>
      <c r="D379" t="s">
        <v>40</v>
      </c>
      <c r="F379" t="s">
        <v>41</v>
      </c>
      <c r="G379" s="2">
        <v>7506.46</v>
      </c>
      <c r="H379" t="s">
        <v>15</v>
      </c>
      <c r="I379">
        <v>2</v>
      </c>
    </row>
    <row r="380" spans="1:9" hidden="1" x14ac:dyDescent="0.3">
      <c r="A380" t="s">
        <v>418</v>
      </c>
      <c r="B380" t="s">
        <v>54</v>
      </c>
      <c r="D380" t="s">
        <v>56</v>
      </c>
      <c r="F380" t="s">
        <v>57</v>
      </c>
      <c r="G380" s="2">
        <v>7606.39</v>
      </c>
      <c r="H380" t="s">
        <v>47</v>
      </c>
      <c r="I380">
        <v>14</v>
      </c>
    </row>
    <row r="381" spans="1:9" hidden="1" x14ac:dyDescent="0.3">
      <c r="A381" t="s">
        <v>419</v>
      </c>
      <c r="B381" t="s">
        <v>52</v>
      </c>
      <c r="D381" t="s">
        <v>28</v>
      </c>
      <c r="F381" t="s">
        <v>29</v>
      </c>
      <c r="G381" s="2">
        <v>777.44</v>
      </c>
      <c r="H381" t="s">
        <v>15</v>
      </c>
      <c r="I381">
        <v>39</v>
      </c>
    </row>
    <row r="382" spans="1:9" hidden="1" x14ac:dyDescent="0.3">
      <c r="A382" t="s">
        <v>420</v>
      </c>
      <c r="B382" t="s">
        <v>44</v>
      </c>
      <c r="D382" t="s">
        <v>62</v>
      </c>
      <c r="F382" t="s">
        <v>19</v>
      </c>
      <c r="G382" s="2">
        <v>8073.53</v>
      </c>
      <c r="H382" t="s">
        <v>35</v>
      </c>
      <c r="I382">
        <v>28</v>
      </c>
    </row>
    <row r="383" spans="1:9" hidden="1" x14ac:dyDescent="0.3">
      <c r="A383" t="s">
        <v>421</v>
      </c>
      <c r="B383" t="s">
        <v>22</v>
      </c>
      <c r="D383" t="s">
        <v>62</v>
      </c>
      <c r="F383" t="s">
        <v>19</v>
      </c>
      <c r="G383" s="2">
        <v>10926.25</v>
      </c>
      <c r="H383" t="s">
        <v>35</v>
      </c>
      <c r="I383">
        <v>24</v>
      </c>
    </row>
    <row r="384" spans="1:9" hidden="1" x14ac:dyDescent="0.3">
      <c r="A384" t="s">
        <v>422</v>
      </c>
      <c r="B384" t="s">
        <v>46</v>
      </c>
      <c r="D384" t="s">
        <v>56</v>
      </c>
      <c r="F384" t="s">
        <v>57</v>
      </c>
      <c r="G384" s="2">
        <v>814.81</v>
      </c>
      <c r="H384" t="s">
        <v>20</v>
      </c>
      <c r="I384">
        <v>24</v>
      </c>
    </row>
    <row r="385" spans="1:9" hidden="1" x14ac:dyDescent="0.3">
      <c r="A385" t="s">
        <v>423</v>
      </c>
      <c r="B385" t="s">
        <v>46</v>
      </c>
      <c r="D385" t="s">
        <v>62</v>
      </c>
      <c r="F385" t="s">
        <v>19</v>
      </c>
      <c r="G385" s="2">
        <v>1149.3</v>
      </c>
      <c r="H385" t="s">
        <v>15</v>
      </c>
      <c r="I385">
        <v>49</v>
      </c>
    </row>
    <row r="386" spans="1:9" hidden="1" x14ac:dyDescent="0.3">
      <c r="A386" t="s">
        <v>424</v>
      </c>
      <c r="B386" t="s">
        <v>8</v>
      </c>
      <c r="D386" t="s">
        <v>62</v>
      </c>
      <c r="F386" t="s">
        <v>19</v>
      </c>
      <c r="G386" s="2">
        <v>12388.4</v>
      </c>
      <c r="H386" t="s">
        <v>20</v>
      </c>
      <c r="I386">
        <v>40</v>
      </c>
    </row>
    <row r="387" spans="1:9" hidden="1" x14ac:dyDescent="0.3">
      <c r="A387" t="s">
        <v>425</v>
      </c>
      <c r="B387" t="s">
        <v>27</v>
      </c>
      <c r="D387" t="s">
        <v>24</v>
      </c>
      <c r="F387" t="s">
        <v>25</v>
      </c>
      <c r="G387" s="2">
        <v>14627.49</v>
      </c>
      <c r="H387" t="s">
        <v>15</v>
      </c>
      <c r="I387">
        <v>51</v>
      </c>
    </row>
    <row r="388" spans="1:9" hidden="1" x14ac:dyDescent="0.3">
      <c r="A388" t="s">
        <v>426</v>
      </c>
      <c r="B388" t="s">
        <v>54</v>
      </c>
      <c r="D388" t="s">
        <v>13</v>
      </c>
      <c r="F388" t="s">
        <v>14</v>
      </c>
      <c r="G388" s="2">
        <v>14087.28</v>
      </c>
      <c r="H388" t="s">
        <v>35</v>
      </c>
      <c r="I388">
        <v>13</v>
      </c>
    </row>
    <row r="389" spans="1:9" hidden="1" x14ac:dyDescent="0.3">
      <c r="A389" t="s">
        <v>427</v>
      </c>
      <c r="B389" t="s">
        <v>27</v>
      </c>
      <c r="D389" t="s">
        <v>13</v>
      </c>
      <c r="F389" t="s">
        <v>14</v>
      </c>
      <c r="G389" s="2">
        <v>6050.74</v>
      </c>
      <c r="H389" t="s">
        <v>11</v>
      </c>
      <c r="I389">
        <v>0</v>
      </c>
    </row>
    <row r="390" spans="1:9" x14ac:dyDescent="0.3">
      <c r="A390" t="s">
        <v>428</v>
      </c>
      <c r="B390" t="s">
        <v>27</v>
      </c>
      <c r="D390" t="s">
        <v>40</v>
      </c>
      <c r="F390" t="s">
        <v>41</v>
      </c>
      <c r="G390" s="2">
        <v>7814.02</v>
      </c>
      <c r="H390" t="s">
        <v>11</v>
      </c>
      <c r="I390">
        <v>0</v>
      </c>
    </row>
    <row r="391" spans="1:9" hidden="1" x14ac:dyDescent="0.3">
      <c r="A391" t="s">
        <v>429</v>
      </c>
      <c r="B391" t="s">
        <v>37</v>
      </c>
      <c r="D391" t="s">
        <v>32</v>
      </c>
      <c r="F391" t="s">
        <v>33</v>
      </c>
      <c r="G391" s="2">
        <v>4812.0200000000004</v>
      </c>
      <c r="H391" t="s">
        <v>15</v>
      </c>
      <c r="I391">
        <v>40</v>
      </c>
    </row>
    <row r="392" spans="1:9" hidden="1" x14ac:dyDescent="0.3">
      <c r="A392" t="s">
        <v>430</v>
      </c>
      <c r="B392" t="s">
        <v>52</v>
      </c>
      <c r="D392" t="s">
        <v>32</v>
      </c>
      <c r="F392" t="s">
        <v>33</v>
      </c>
      <c r="G392" s="2">
        <v>5078.78</v>
      </c>
      <c r="H392" t="s">
        <v>35</v>
      </c>
      <c r="I392">
        <v>35</v>
      </c>
    </row>
    <row r="393" spans="1:9" hidden="1" x14ac:dyDescent="0.3">
      <c r="A393" t="s">
        <v>431</v>
      </c>
      <c r="B393" t="s">
        <v>27</v>
      </c>
      <c r="D393" t="s">
        <v>32</v>
      </c>
      <c r="F393" t="s">
        <v>33</v>
      </c>
      <c r="G393" s="2">
        <v>4531.87</v>
      </c>
      <c r="H393" t="s">
        <v>35</v>
      </c>
      <c r="I393">
        <v>24</v>
      </c>
    </row>
    <row r="394" spans="1:9" hidden="1" x14ac:dyDescent="0.3">
      <c r="A394" t="s">
        <v>432</v>
      </c>
      <c r="B394" t="s">
        <v>22</v>
      </c>
      <c r="D394" t="s">
        <v>9</v>
      </c>
      <c r="F394" t="s">
        <v>10</v>
      </c>
      <c r="G394" s="2">
        <v>14699.48</v>
      </c>
      <c r="H394" t="s">
        <v>20</v>
      </c>
      <c r="I394">
        <v>51</v>
      </c>
    </row>
    <row r="395" spans="1:9" hidden="1" x14ac:dyDescent="0.3">
      <c r="A395" t="s">
        <v>433</v>
      </c>
      <c r="B395" t="s">
        <v>54</v>
      </c>
      <c r="D395" t="s">
        <v>32</v>
      </c>
      <c r="F395" t="s">
        <v>33</v>
      </c>
      <c r="G395" s="2">
        <v>7145.12</v>
      </c>
      <c r="H395" t="s">
        <v>47</v>
      </c>
      <c r="I395">
        <v>51</v>
      </c>
    </row>
    <row r="396" spans="1:9" hidden="1" x14ac:dyDescent="0.3">
      <c r="A396" t="s">
        <v>434</v>
      </c>
      <c r="B396" t="s">
        <v>46</v>
      </c>
      <c r="D396" t="s">
        <v>32</v>
      </c>
      <c r="F396" t="s">
        <v>33</v>
      </c>
      <c r="G396" s="2">
        <v>3451.77</v>
      </c>
      <c r="H396" t="s">
        <v>11</v>
      </c>
      <c r="I396">
        <v>0</v>
      </c>
    </row>
    <row r="397" spans="1:9" hidden="1" x14ac:dyDescent="0.3">
      <c r="A397" t="s">
        <v>435</v>
      </c>
      <c r="B397" t="s">
        <v>17</v>
      </c>
      <c r="D397" t="s">
        <v>32</v>
      </c>
      <c r="F397" t="s">
        <v>33</v>
      </c>
      <c r="G397" s="2">
        <v>11630.36</v>
      </c>
      <c r="H397" t="s">
        <v>15</v>
      </c>
      <c r="I397">
        <v>53</v>
      </c>
    </row>
    <row r="398" spans="1:9" hidden="1" x14ac:dyDescent="0.3">
      <c r="A398" t="s">
        <v>436</v>
      </c>
      <c r="B398" t="s">
        <v>22</v>
      </c>
      <c r="D398" t="s">
        <v>99</v>
      </c>
      <c r="F398" t="s">
        <v>29</v>
      </c>
      <c r="G398" s="2">
        <v>8609.93</v>
      </c>
      <c r="H398" t="s">
        <v>20</v>
      </c>
      <c r="I398">
        <v>13</v>
      </c>
    </row>
    <row r="399" spans="1:9" x14ac:dyDescent="0.3">
      <c r="A399" t="s">
        <v>437</v>
      </c>
      <c r="B399" t="s">
        <v>31</v>
      </c>
      <c r="D399" t="s">
        <v>40</v>
      </c>
      <c r="F399" t="s">
        <v>41</v>
      </c>
      <c r="G399" s="2">
        <v>4739.7</v>
      </c>
      <c r="H399" t="s">
        <v>11</v>
      </c>
      <c r="I399">
        <v>0</v>
      </c>
    </row>
    <row r="400" spans="1:9" hidden="1" x14ac:dyDescent="0.3">
      <c r="A400" t="s">
        <v>438</v>
      </c>
      <c r="B400" t="s">
        <v>22</v>
      </c>
      <c r="D400" t="s">
        <v>13</v>
      </c>
      <c r="F400" t="s">
        <v>14</v>
      </c>
      <c r="G400" s="2">
        <v>11635.84</v>
      </c>
      <c r="H400" t="s">
        <v>47</v>
      </c>
      <c r="I400">
        <v>56</v>
      </c>
    </row>
    <row r="401" spans="1:9" hidden="1" x14ac:dyDescent="0.3">
      <c r="A401" t="s">
        <v>439</v>
      </c>
      <c r="B401" t="s">
        <v>52</v>
      </c>
      <c r="D401" t="s">
        <v>24</v>
      </c>
      <c r="F401" t="s">
        <v>25</v>
      </c>
      <c r="G401" s="2">
        <v>7804.31</v>
      </c>
      <c r="H401" t="s">
        <v>20</v>
      </c>
      <c r="I401">
        <v>43</v>
      </c>
    </row>
    <row r="402" spans="1:9" hidden="1" x14ac:dyDescent="0.3">
      <c r="A402" t="s">
        <v>440</v>
      </c>
      <c r="B402" t="s">
        <v>46</v>
      </c>
      <c r="D402" t="s">
        <v>13</v>
      </c>
      <c r="F402" t="s">
        <v>14</v>
      </c>
      <c r="G402" s="2">
        <v>5683.53</v>
      </c>
      <c r="H402" t="s">
        <v>47</v>
      </c>
      <c r="I402">
        <v>30</v>
      </c>
    </row>
    <row r="403" spans="1:9" hidden="1" x14ac:dyDescent="0.3">
      <c r="A403" t="s">
        <v>441</v>
      </c>
      <c r="B403" t="s">
        <v>37</v>
      </c>
      <c r="D403" t="s">
        <v>28</v>
      </c>
      <c r="F403" t="s">
        <v>29</v>
      </c>
      <c r="G403" s="2">
        <v>8216.7800000000007</v>
      </c>
      <c r="H403" t="s">
        <v>20</v>
      </c>
      <c r="I403">
        <v>56</v>
      </c>
    </row>
    <row r="404" spans="1:9" hidden="1" x14ac:dyDescent="0.3">
      <c r="A404" t="s">
        <v>442</v>
      </c>
      <c r="B404" t="s">
        <v>46</v>
      </c>
      <c r="D404" t="s">
        <v>32</v>
      </c>
      <c r="F404" t="s">
        <v>33</v>
      </c>
      <c r="G404" s="2">
        <v>7288.49</v>
      </c>
      <c r="H404" t="s">
        <v>47</v>
      </c>
      <c r="I404">
        <v>18</v>
      </c>
    </row>
    <row r="405" spans="1:9" hidden="1" x14ac:dyDescent="0.3">
      <c r="A405" t="s">
        <v>443</v>
      </c>
      <c r="B405" t="s">
        <v>37</v>
      </c>
      <c r="D405" t="s">
        <v>62</v>
      </c>
      <c r="F405" t="s">
        <v>19</v>
      </c>
      <c r="G405" s="2">
        <v>3411.76</v>
      </c>
      <c r="H405" t="s">
        <v>47</v>
      </c>
      <c r="I405">
        <v>20</v>
      </c>
    </row>
    <row r="406" spans="1:9" hidden="1" x14ac:dyDescent="0.3">
      <c r="A406" t="s">
        <v>444</v>
      </c>
      <c r="B406" t="s">
        <v>27</v>
      </c>
      <c r="D406" t="s">
        <v>18</v>
      </c>
      <c r="F406" t="s">
        <v>19</v>
      </c>
      <c r="G406" s="2">
        <v>10369.09</v>
      </c>
      <c r="H406" t="s">
        <v>15</v>
      </c>
      <c r="I406">
        <v>31</v>
      </c>
    </row>
    <row r="407" spans="1:9" hidden="1" x14ac:dyDescent="0.3">
      <c r="A407" t="s">
        <v>445</v>
      </c>
      <c r="B407" t="s">
        <v>37</v>
      </c>
      <c r="D407" t="s">
        <v>13</v>
      </c>
      <c r="F407" t="s">
        <v>14</v>
      </c>
      <c r="G407" s="2">
        <v>14008.82</v>
      </c>
      <c r="H407" t="s">
        <v>35</v>
      </c>
      <c r="I407">
        <v>18</v>
      </c>
    </row>
    <row r="408" spans="1:9" hidden="1" x14ac:dyDescent="0.3">
      <c r="A408" t="s">
        <v>446</v>
      </c>
      <c r="B408" t="s">
        <v>31</v>
      </c>
      <c r="D408" t="s">
        <v>9</v>
      </c>
      <c r="F408" t="s">
        <v>10</v>
      </c>
      <c r="G408" s="2">
        <v>8623.48</v>
      </c>
      <c r="H408" t="s">
        <v>15</v>
      </c>
      <c r="I408">
        <v>58</v>
      </c>
    </row>
    <row r="409" spans="1:9" hidden="1" x14ac:dyDescent="0.3">
      <c r="A409" t="s">
        <v>447</v>
      </c>
      <c r="B409" t="s">
        <v>22</v>
      </c>
      <c r="D409" t="s">
        <v>28</v>
      </c>
      <c r="F409" t="s">
        <v>29</v>
      </c>
      <c r="G409" s="2">
        <v>14321.4</v>
      </c>
      <c r="H409" t="s">
        <v>35</v>
      </c>
      <c r="I409">
        <v>19</v>
      </c>
    </row>
    <row r="410" spans="1:9" hidden="1" x14ac:dyDescent="0.3">
      <c r="A410" t="s">
        <v>448</v>
      </c>
      <c r="B410" t="s">
        <v>37</v>
      </c>
      <c r="D410" t="s">
        <v>62</v>
      </c>
      <c r="F410" t="s">
        <v>19</v>
      </c>
      <c r="G410" s="2">
        <v>14331.94</v>
      </c>
      <c r="H410" t="s">
        <v>11</v>
      </c>
      <c r="I410">
        <v>15</v>
      </c>
    </row>
    <row r="411" spans="1:9" x14ac:dyDescent="0.3">
      <c r="A411" t="s">
        <v>449</v>
      </c>
      <c r="B411" t="s">
        <v>46</v>
      </c>
      <c r="D411" t="s">
        <v>40</v>
      </c>
      <c r="F411" t="s">
        <v>41</v>
      </c>
      <c r="G411" s="2">
        <v>3249.1</v>
      </c>
      <c r="H411" t="s">
        <v>35</v>
      </c>
      <c r="I411">
        <v>18</v>
      </c>
    </row>
    <row r="412" spans="1:9" hidden="1" x14ac:dyDescent="0.3">
      <c r="A412" t="s">
        <v>450</v>
      </c>
      <c r="B412" t="s">
        <v>17</v>
      </c>
      <c r="D412" t="s">
        <v>62</v>
      </c>
      <c r="F412" t="s">
        <v>19</v>
      </c>
      <c r="G412" s="2">
        <v>2102.23</v>
      </c>
      <c r="H412" t="s">
        <v>20</v>
      </c>
      <c r="I412">
        <v>38</v>
      </c>
    </row>
    <row r="413" spans="1:9" hidden="1" x14ac:dyDescent="0.3">
      <c r="A413" t="s">
        <v>451</v>
      </c>
      <c r="B413" t="s">
        <v>17</v>
      </c>
      <c r="D413" t="s">
        <v>18</v>
      </c>
      <c r="F413" t="s">
        <v>19</v>
      </c>
      <c r="G413" s="2">
        <v>808.94</v>
      </c>
      <c r="H413" t="s">
        <v>47</v>
      </c>
      <c r="I413">
        <v>15</v>
      </c>
    </row>
    <row r="414" spans="1:9" hidden="1" x14ac:dyDescent="0.3">
      <c r="A414" t="s">
        <v>452</v>
      </c>
      <c r="B414" t="s">
        <v>8</v>
      </c>
      <c r="D414" t="s">
        <v>99</v>
      </c>
      <c r="F414" t="s">
        <v>29</v>
      </c>
      <c r="G414" s="2">
        <v>1547.96</v>
      </c>
      <c r="H414" t="s">
        <v>15</v>
      </c>
      <c r="I414">
        <v>31</v>
      </c>
    </row>
    <row r="415" spans="1:9" hidden="1" x14ac:dyDescent="0.3">
      <c r="A415" t="s">
        <v>453</v>
      </c>
      <c r="B415" t="s">
        <v>44</v>
      </c>
      <c r="D415" t="s">
        <v>24</v>
      </c>
      <c r="F415" t="s">
        <v>25</v>
      </c>
      <c r="G415" s="2">
        <v>127.46</v>
      </c>
      <c r="H415" t="s">
        <v>20</v>
      </c>
      <c r="I415">
        <v>60</v>
      </c>
    </row>
    <row r="416" spans="1:9" hidden="1" x14ac:dyDescent="0.3">
      <c r="A416" t="s">
        <v>454</v>
      </c>
      <c r="B416" t="s">
        <v>52</v>
      </c>
      <c r="D416" t="s">
        <v>56</v>
      </c>
      <c r="F416" t="s">
        <v>57</v>
      </c>
      <c r="G416" s="2">
        <v>9810.75</v>
      </c>
      <c r="H416" t="s">
        <v>47</v>
      </c>
      <c r="I416">
        <v>31</v>
      </c>
    </row>
    <row r="417" spans="1:9" hidden="1" x14ac:dyDescent="0.3">
      <c r="A417" t="s">
        <v>455</v>
      </c>
      <c r="B417" t="s">
        <v>22</v>
      </c>
      <c r="D417" t="s">
        <v>18</v>
      </c>
      <c r="F417" t="s">
        <v>19</v>
      </c>
      <c r="G417" s="2">
        <v>11350.87</v>
      </c>
      <c r="H417" t="s">
        <v>15</v>
      </c>
      <c r="I417">
        <v>19</v>
      </c>
    </row>
    <row r="418" spans="1:9" hidden="1" x14ac:dyDescent="0.3">
      <c r="A418" t="s">
        <v>456</v>
      </c>
      <c r="B418" t="s">
        <v>44</v>
      </c>
      <c r="D418" t="s">
        <v>9</v>
      </c>
      <c r="F418" t="s">
        <v>10</v>
      </c>
      <c r="G418" s="2">
        <v>9801.8700000000008</v>
      </c>
      <c r="H418" t="s">
        <v>11</v>
      </c>
      <c r="I418">
        <v>0</v>
      </c>
    </row>
    <row r="419" spans="1:9" hidden="1" x14ac:dyDescent="0.3">
      <c r="A419" t="s">
        <v>457</v>
      </c>
      <c r="B419" t="s">
        <v>31</v>
      </c>
      <c r="D419" t="s">
        <v>56</v>
      </c>
      <c r="F419" t="s">
        <v>57</v>
      </c>
      <c r="G419" s="2">
        <v>13239.56</v>
      </c>
      <c r="H419" t="s">
        <v>11</v>
      </c>
      <c r="I419">
        <v>0</v>
      </c>
    </row>
    <row r="420" spans="1:9" x14ac:dyDescent="0.3">
      <c r="A420" t="s">
        <v>458</v>
      </c>
      <c r="B420" t="s">
        <v>37</v>
      </c>
      <c r="D420" t="s">
        <v>40</v>
      </c>
      <c r="F420" t="s">
        <v>41</v>
      </c>
      <c r="G420" s="2">
        <v>2835.36</v>
      </c>
      <c r="H420" t="s">
        <v>35</v>
      </c>
      <c r="I420">
        <v>56</v>
      </c>
    </row>
    <row r="421" spans="1:9" hidden="1" x14ac:dyDescent="0.3">
      <c r="A421" t="s">
        <v>459</v>
      </c>
      <c r="B421" t="s">
        <v>27</v>
      </c>
      <c r="D421" t="s">
        <v>99</v>
      </c>
      <c r="F421" t="s">
        <v>29</v>
      </c>
      <c r="G421" s="2">
        <v>188.54</v>
      </c>
      <c r="H421" t="s">
        <v>20</v>
      </c>
      <c r="I421">
        <v>7</v>
      </c>
    </row>
    <row r="422" spans="1:9" hidden="1" x14ac:dyDescent="0.3">
      <c r="A422" t="s">
        <v>460</v>
      </c>
      <c r="B422" t="s">
        <v>52</v>
      </c>
      <c r="D422" t="s">
        <v>62</v>
      </c>
      <c r="F422" t="s">
        <v>19</v>
      </c>
      <c r="G422" s="2">
        <v>6842.52</v>
      </c>
      <c r="H422" t="s">
        <v>20</v>
      </c>
      <c r="I422">
        <v>34</v>
      </c>
    </row>
    <row r="423" spans="1:9" hidden="1" x14ac:dyDescent="0.3">
      <c r="A423" t="s">
        <v>461</v>
      </c>
      <c r="B423" t="s">
        <v>8</v>
      </c>
      <c r="D423" t="s">
        <v>24</v>
      </c>
      <c r="F423" t="s">
        <v>25</v>
      </c>
      <c r="G423" s="2">
        <v>12773.34</v>
      </c>
      <c r="H423" t="s">
        <v>15</v>
      </c>
      <c r="I423">
        <v>13</v>
      </c>
    </row>
    <row r="424" spans="1:9" hidden="1" x14ac:dyDescent="0.3">
      <c r="A424" t="s">
        <v>462</v>
      </c>
      <c r="B424" t="s">
        <v>44</v>
      </c>
      <c r="D424" t="s">
        <v>28</v>
      </c>
      <c r="F424" t="s">
        <v>29</v>
      </c>
      <c r="G424" s="2">
        <v>2479.29</v>
      </c>
      <c r="H424" t="s">
        <v>15</v>
      </c>
      <c r="I424">
        <v>17</v>
      </c>
    </row>
    <row r="425" spans="1:9" hidden="1" x14ac:dyDescent="0.3">
      <c r="A425" t="s">
        <v>463</v>
      </c>
      <c r="B425" t="s">
        <v>17</v>
      </c>
      <c r="D425" t="s">
        <v>99</v>
      </c>
      <c r="F425" t="s">
        <v>29</v>
      </c>
      <c r="G425" s="2">
        <v>11062.44</v>
      </c>
      <c r="H425" t="s">
        <v>35</v>
      </c>
      <c r="I425">
        <v>37</v>
      </c>
    </row>
    <row r="426" spans="1:9" hidden="1" x14ac:dyDescent="0.3">
      <c r="A426" t="s">
        <v>464</v>
      </c>
      <c r="B426" t="s">
        <v>31</v>
      </c>
      <c r="D426" t="s">
        <v>24</v>
      </c>
      <c r="F426" t="s">
        <v>25</v>
      </c>
      <c r="G426" s="2">
        <v>9183.77</v>
      </c>
      <c r="H426" t="s">
        <v>20</v>
      </c>
      <c r="I426">
        <v>26</v>
      </c>
    </row>
    <row r="427" spans="1:9" hidden="1" x14ac:dyDescent="0.3">
      <c r="A427" t="s">
        <v>465</v>
      </c>
      <c r="B427" t="s">
        <v>44</v>
      </c>
      <c r="D427" t="s">
        <v>13</v>
      </c>
      <c r="F427" t="s">
        <v>14</v>
      </c>
      <c r="G427" s="2">
        <v>4952.5</v>
      </c>
      <c r="H427" t="s">
        <v>15</v>
      </c>
      <c r="I427">
        <v>7</v>
      </c>
    </row>
    <row r="428" spans="1:9" hidden="1" x14ac:dyDescent="0.3">
      <c r="A428" t="s">
        <v>466</v>
      </c>
      <c r="B428" t="s">
        <v>37</v>
      </c>
      <c r="D428" t="s">
        <v>24</v>
      </c>
      <c r="F428" t="s">
        <v>25</v>
      </c>
      <c r="G428" s="2">
        <v>7187.94</v>
      </c>
      <c r="H428" t="s">
        <v>47</v>
      </c>
      <c r="I428">
        <v>1</v>
      </c>
    </row>
    <row r="429" spans="1:9" hidden="1" x14ac:dyDescent="0.3">
      <c r="A429" t="s">
        <v>467</v>
      </c>
      <c r="B429" t="s">
        <v>37</v>
      </c>
      <c r="D429" t="s">
        <v>56</v>
      </c>
      <c r="F429" t="s">
        <v>57</v>
      </c>
      <c r="G429" s="2">
        <v>3571.04</v>
      </c>
      <c r="H429" t="s">
        <v>35</v>
      </c>
      <c r="I429">
        <v>22</v>
      </c>
    </row>
    <row r="430" spans="1:9" hidden="1" x14ac:dyDescent="0.3">
      <c r="A430" t="s">
        <v>468</v>
      </c>
      <c r="B430" t="s">
        <v>17</v>
      </c>
      <c r="D430" t="s">
        <v>32</v>
      </c>
      <c r="F430" t="s">
        <v>33</v>
      </c>
      <c r="G430" s="2">
        <v>10857.09</v>
      </c>
      <c r="H430" t="s">
        <v>11</v>
      </c>
      <c r="I430">
        <v>0</v>
      </c>
    </row>
    <row r="431" spans="1:9" hidden="1" x14ac:dyDescent="0.3">
      <c r="A431" t="s">
        <v>469</v>
      </c>
      <c r="B431" t="s">
        <v>31</v>
      </c>
      <c r="D431" t="s">
        <v>99</v>
      </c>
      <c r="F431" t="s">
        <v>29</v>
      </c>
      <c r="G431" s="2">
        <v>10033.4</v>
      </c>
      <c r="H431" t="s">
        <v>15</v>
      </c>
      <c r="I431">
        <v>11</v>
      </c>
    </row>
    <row r="432" spans="1:9" hidden="1" x14ac:dyDescent="0.3">
      <c r="A432" t="s">
        <v>470</v>
      </c>
      <c r="B432" t="s">
        <v>37</v>
      </c>
      <c r="D432" t="s">
        <v>13</v>
      </c>
      <c r="F432" t="s">
        <v>14</v>
      </c>
      <c r="G432" s="2">
        <v>13850.43</v>
      </c>
      <c r="H432" t="s">
        <v>47</v>
      </c>
      <c r="I432">
        <v>50</v>
      </c>
    </row>
    <row r="433" spans="1:9" hidden="1" x14ac:dyDescent="0.3">
      <c r="A433" t="s">
        <v>471</v>
      </c>
      <c r="B433" t="s">
        <v>54</v>
      </c>
      <c r="D433" t="s">
        <v>9</v>
      </c>
      <c r="F433" t="s">
        <v>10</v>
      </c>
      <c r="G433" s="2">
        <v>9598.73</v>
      </c>
      <c r="H433" t="s">
        <v>47</v>
      </c>
      <c r="I433">
        <v>24</v>
      </c>
    </row>
    <row r="434" spans="1:9" hidden="1" x14ac:dyDescent="0.3">
      <c r="A434" t="s">
        <v>472</v>
      </c>
      <c r="B434" t="s">
        <v>54</v>
      </c>
      <c r="D434" t="s">
        <v>18</v>
      </c>
      <c r="F434" t="s">
        <v>19</v>
      </c>
      <c r="G434" s="2">
        <v>3325.97</v>
      </c>
      <c r="H434" t="s">
        <v>11</v>
      </c>
      <c r="I434">
        <v>3</v>
      </c>
    </row>
    <row r="435" spans="1:9" hidden="1" x14ac:dyDescent="0.3">
      <c r="A435" t="s">
        <v>473</v>
      </c>
      <c r="B435" t="s">
        <v>46</v>
      </c>
      <c r="D435" t="s">
        <v>28</v>
      </c>
      <c r="F435" t="s">
        <v>29</v>
      </c>
      <c r="G435" s="2">
        <v>6266.89</v>
      </c>
      <c r="H435" t="s">
        <v>15</v>
      </c>
      <c r="I435">
        <v>31</v>
      </c>
    </row>
    <row r="436" spans="1:9" hidden="1" x14ac:dyDescent="0.3">
      <c r="A436" t="s">
        <v>474</v>
      </c>
      <c r="B436" t="s">
        <v>8</v>
      </c>
      <c r="D436" t="s">
        <v>18</v>
      </c>
      <c r="F436" t="s">
        <v>19</v>
      </c>
      <c r="G436" s="2">
        <v>11439.8</v>
      </c>
      <c r="H436" t="s">
        <v>20</v>
      </c>
      <c r="I436">
        <v>39</v>
      </c>
    </row>
    <row r="437" spans="1:9" hidden="1" x14ac:dyDescent="0.3">
      <c r="A437" t="s">
        <v>475</v>
      </c>
      <c r="B437" t="s">
        <v>54</v>
      </c>
      <c r="D437" t="s">
        <v>13</v>
      </c>
      <c r="F437" t="s">
        <v>14</v>
      </c>
      <c r="G437" s="2">
        <v>6728.88</v>
      </c>
      <c r="H437" t="s">
        <v>20</v>
      </c>
      <c r="I437">
        <v>5</v>
      </c>
    </row>
    <row r="438" spans="1:9" hidden="1" x14ac:dyDescent="0.3">
      <c r="A438" t="s">
        <v>476</v>
      </c>
      <c r="B438" t="s">
        <v>17</v>
      </c>
      <c r="D438" t="s">
        <v>9</v>
      </c>
      <c r="F438" t="s">
        <v>10</v>
      </c>
      <c r="G438" s="2">
        <v>973.28</v>
      </c>
      <c r="H438" t="s">
        <v>15</v>
      </c>
      <c r="I438">
        <v>33</v>
      </c>
    </row>
    <row r="439" spans="1:9" hidden="1" x14ac:dyDescent="0.3">
      <c r="A439" t="s">
        <v>477</v>
      </c>
      <c r="B439" t="s">
        <v>8</v>
      </c>
      <c r="D439" t="s">
        <v>32</v>
      </c>
      <c r="F439" t="s">
        <v>33</v>
      </c>
      <c r="G439" s="2">
        <v>8073.07</v>
      </c>
      <c r="H439" t="s">
        <v>11</v>
      </c>
      <c r="I439">
        <v>14</v>
      </c>
    </row>
    <row r="440" spans="1:9" hidden="1" x14ac:dyDescent="0.3">
      <c r="A440" t="s">
        <v>478</v>
      </c>
      <c r="B440" t="s">
        <v>46</v>
      </c>
      <c r="D440" t="s">
        <v>18</v>
      </c>
      <c r="F440" t="s">
        <v>19</v>
      </c>
      <c r="G440" s="2">
        <v>10767.92</v>
      </c>
      <c r="H440" t="s">
        <v>15</v>
      </c>
      <c r="I440">
        <v>58</v>
      </c>
    </row>
    <row r="441" spans="1:9" x14ac:dyDescent="0.3">
      <c r="A441" t="s">
        <v>479</v>
      </c>
      <c r="B441" t="s">
        <v>31</v>
      </c>
      <c r="D441" t="s">
        <v>40</v>
      </c>
      <c r="F441" t="s">
        <v>41</v>
      </c>
      <c r="G441" s="2">
        <v>12139.95</v>
      </c>
      <c r="H441" t="s">
        <v>15</v>
      </c>
      <c r="I441">
        <v>33</v>
      </c>
    </row>
    <row r="442" spans="1:9" x14ac:dyDescent="0.3">
      <c r="A442" t="s">
        <v>480</v>
      </c>
      <c r="B442" t="s">
        <v>37</v>
      </c>
      <c r="D442" t="s">
        <v>40</v>
      </c>
      <c r="F442" t="s">
        <v>41</v>
      </c>
      <c r="G442" s="2">
        <v>8480.4699999999993</v>
      </c>
      <c r="H442" t="s">
        <v>20</v>
      </c>
      <c r="I442">
        <v>44</v>
      </c>
    </row>
    <row r="443" spans="1:9" hidden="1" x14ac:dyDescent="0.3">
      <c r="A443" t="s">
        <v>481</v>
      </c>
      <c r="B443" t="s">
        <v>17</v>
      </c>
      <c r="D443" t="s">
        <v>99</v>
      </c>
      <c r="F443" t="s">
        <v>29</v>
      </c>
      <c r="G443" s="2">
        <v>5969.43</v>
      </c>
      <c r="H443" t="s">
        <v>35</v>
      </c>
      <c r="I443">
        <v>48</v>
      </c>
    </row>
    <row r="444" spans="1:9" hidden="1" x14ac:dyDescent="0.3">
      <c r="A444" t="s">
        <v>482</v>
      </c>
      <c r="B444" t="s">
        <v>8</v>
      </c>
      <c r="D444" t="s">
        <v>32</v>
      </c>
      <c r="F444" t="s">
        <v>33</v>
      </c>
      <c r="G444" s="2">
        <v>1141.79</v>
      </c>
      <c r="H444" t="s">
        <v>15</v>
      </c>
      <c r="I444">
        <v>45</v>
      </c>
    </row>
    <row r="445" spans="1:9" hidden="1" x14ac:dyDescent="0.3">
      <c r="A445" t="s">
        <v>483</v>
      </c>
      <c r="B445" t="s">
        <v>52</v>
      </c>
      <c r="D445" t="s">
        <v>13</v>
      </c>
      <c r="F445" t="s">
        <v>14</v>
      </c>
      <c r="G445" s="2">
        <v>14912.15</v>
      </c>
      <c r="H445" t="s">
        <v>47</v>
      </c>
      <c r="I445">
        <v>5</v>
      </c>
    </row>
    <row r="446" spans="1:9" hidden="1" x14ac:dyDescent="0.3">
      <c r="A446" t="s">
        <v>484</v>
      </c>
      <c r="B446" t="s">
        <v>27</v>
      </c>
      <c r="D446" t="s">
        <v>99</v>
      </c>
      <c r="F446" t="s">
        <v>29</v>
      </c>
      <c r="G446" s="2">
        <v>4342.01</v>
      </c>
      <c r="H446" t="s">
        <v>11</v>
      </c>
      <c r="I446">
        <v>3</v>
      </c>
    </row>
    <row r="447" spans="1:9" hidden="1" x14ac:dyDescent="0.3">
      <c r="A447" t="s">
        <v>485</v>
      </c>
      <c r="B447" t="s">
        <v>31</v>
      </c>
      <c r="D447" t="s">
        <v>56</v>
      </c>
      <c r="F447" t="s">
        <v>57</v>
      </c>
      <c r="G447" s="2">
        <v>6755.63</v>
      </c>
      <c r="H447" t="s">
        <v>47</v>
      </c>
      <c r="I447">
        <v>25</v>
      </c>
    </row>
    <row r="448" spans="1:9" hidden="1" x14ac:dyDescent="0.3">
      <c r="A448" t="s">
        <v>486</v>
      </c>
      <c r="B448" t="s">
        <v>44</v>
      </c>
      <c r="D448" t="s">
        <v>9</v>
      </c>
      <c r="F448" t="s">
        <v>10</v>
      </c>
      <c r="G448" s="2">
        <v>10256.82</v>
      </c>
      <c r="H448" t="s">
        <v>20</v>
      </c>
      <c r="I448">
        <v>35</v>
      </c>
    </row>
    <row r="449" spans="1:9" hidden="1" x14ac:dyDescent="0.3">
      <c r="A449" t="s">
        <v>487</v>
      </c>
      <c r="B449" t="s">
        <v>46</v>
      </c>
      <c r="D449" t="s">
        <v>28</v>
      </c>
      <c r="F449" t="s">
        <v>29</v>
      </c>
      <c r="G449" s="2">
        <v>1823.57</v>
      </c>
      <c r="H449" t="s">
        <v>47</v>
      </c>
      <c r="I449">
        <v>26</v>
      </c>
    </row>
    <row r="450" spans="1:9" hidden="1" x14ac:dyDescent="0.3">
      <c r="A450" t="s">
        <v>488</v>
      </c>
      <c r="B450" t="s">
        <v>37</v>
      </c>
      <c r="D450" t="s">
        <v>24</v>
      </c>
      <c r="F450" t="s">
        <v>25</v>
      </c>
      <c r="G450" s="2">
        <v>10931.48</v>
      </c>
      <c r="H450" t="s">
        <v>11</v>
      </c>
      <c r="I450">
        <v>0</v>
      </c>
    </row>
    <row r="451" spans="1:9" x14ac:dyDescent="0.3">
      <c r="A451" t="s">
        <v>489</v>
      </c>
      <c r="B451" t="s">
        <v>31</v>
      </c>
      <c r="D451" t="s">
        <v>40</v>
      </c>
      <c r="F451" t="s">
        <v>41</v>
      </c>
      <c r="G451" s="2">
        <v>10118.82</v>
      </c>
      <c r="H451" t="s">
        <v>15</v>
      </c>
      <c r="I451">
        <v>35</v>
      </c>
    </row>
    <row r="452" spans="1:9" hidden="1" x14ac:dyDescent="0.3">
      <c r="A452" t="s">
        <v>490</v>
      </c>
      <c r="B452" t="s">
        <v>17</v>
      </c>
      <c r="D452" t="s">
        <v>18</v>
      </c>
      <c r="F452" t="s">
        <v>19</v>
      </c>
      <c r="G452" s="2">
        <v>3750.3</v>
      </c>
      <c r="H452" t="s">
        <v>15</v>
      </c>
      <c r="I452">
        <v>18</v>
      </c>
    </row>
    <row r="453" spans="1:9" hidden="1" x14ac:dyDescent="0.3">
      <c r="A453" t="s">
        <v>491</v>
      </c>
      <c r="B453" t="s">
        <v>22</v>
      </c>
      <c r="D453" t="s">
        <v>9</v>
      </c>
      <c r="F453" t="s">
        <v>10</v>
      </c>
      <c r="G453" s="2">
        <v>531.65</v>
      </c>
      <c r="H453" t="s">
        <v>20</v>
      </c>
      <c r="I453">
        <v>40</v>
      </c>
    </row>
    <row r="454" spans="1:9" hidden="1" x14ac:dyDescent="0.3">
      <c r="A454" t="s">
        <v>492</v>
      </c>
      <c r="B454" t="s">
        <v>54</v>
      </c>
      <c r="D454" t="s">
        <v>18</v>
      </c>
      <c r="F454" t="s">
        <v>19</v>
      </c>
      <c r="G454" s="2">
        <v>3130.92</v>
      </c>
      <c r="H454" t="s">
        <v>11</v>
      </c>
      <c r="I454">
        <v>1</v>
      </c>
    </row>
    <row r="455" spans="1:9" hidden="1" x14ac:dyDescent="0.3">
      <c r="A455" t="s">
        <v>493</v>
      </c>
      <c r="B455" t="s">
        <v>46</v>
      </c>
      <c r="D455" t="s">
        <v>99</v>
      </c>
      <c r="F455" t="s">
        <v>29</v>
      </c>
      <c r="G455" s="2">
        <v>3708.78</v>
      </c>
      <c r="H455" t="s">
        <v>11</v>
      </c>
      <c r="I455">
        <v>0</v>
      </c>
    </row>
    <row r="456" spans="1:9" hidden="1" x14ac:dyDescent="0.3">
      <c r="A456" t="s">
        <v>494</v>
      </c>
      <c r="B456" t="s">
        <v>46</v>
      </c>
      <c r="D456" t="s">
        <v>18</v>
      </c>
      <c r="F456" t="s">
        <v>19</v>
      </c>
      <c r="G456" s="2">
        <v>11328.07</v>
      </c>
      <c r="H456" t="s">
        <v>35</v>
      </c>
      <c r="I456">
        <v>9</v>
      </c>
    </row>
    <row r="457" spans="1:9" hidden="1" x14ac:dyDescent="0.3">
      <c r="A457" t="s">
        <v>495</v>
      </c>
      <c r="B457" t="s">
        <v>27</v>
      </c>
      <c r="D457" t="s">
        <v>62</v>
      </c>
      <c r="F457" t="s">
        <v>19</v>
      </c>
      <c r="G457" s="2">
        <v>3550.71</v>
      </c>
      <c r="H457" t="s">
        <v>47</v>
      </c>
      <c r="I457">
        <v>37</v>
      </c>
    </row>
    <row r="458" spans="1:9" hidden="1" x14ac:dyDescent="0.3">
      <c r="A458" t="s">
        <v>496</v>
      </c>
      <c r="B458" t="s">
        <v>17</v>
      </c>
      <c r="D458" t="s">
        <v>32</v>
      </c>
      <c r="F458" t="s">
        <v>33</v>
      </c>
      <c r="G458" s="2">
        <v>8988.8700000000008</v>
      </c>
      <c r="H458" t="s">
        <v>20</v>
      </c>
      <c r="I458">
        <v>21</v>
      </c>
    </row>
    <row r="459" spans="1:9" hidden="1" x14ac:dyDescent="0.3">
      <c r="A459" t="s">
        <v>497</v>
      </c>
      <c r="B459" t="s">
        <v>17</v>
      </c>
      <c r="D459" t="s">
        <v>62</v>
      </c>
      <c r="F459" t="s">
        <v>19</v>
      </c>
      <c r="G459" s="2">
        <v>13150.06</v>
      </c>
      <c r="H459" t="s">
        <v>47</v>
      </c>
      <c r="I459">
        <v>34</v>
      </c>
    </row>
    <row r="460" spans="1:9" hidden="1" x14ac:dyDescent="0.3">
      <c r="A460" t="s">
        <v>498</v>
      </c>
      <c r="B460" t="s">
        <v>31</v>
      </c>
      <c r="D460" t="s">
        <v>56</v>
      </c>
      <c r="F460" t="s">
        <v>57</v>
      </c>
      <c r="G460" s="2">
        <v>4542.49</v>
      </c>
      <c r="H460" t="s">
        <v>11</v>
      </c>
      <c r="I460">
        <v>0</v>
      </c>
    </row>
    <row r="461" spans="1:9" hidden="1" x14ac:dyDescent="0.3">
      <c r="A461" t="s">
        <v>499</v>
      </c>
      <c r="B461" t="s">
        <v>31</v>
      </c>
      <c r="D461" t="s">
        <v>13</v>
      </c>
      <c r="F461" t="s">
        <v>14</v>
      </c>
      <c r="G461" s="2">
        <v>7459.53</v>
      </c>
      <c r="H461" t="s">
        <v>47</v>
      </c>
      <c r="I461">
        <v>42</v>
      </c>
    </row>
    <row r="462" spans="1:9" hidden="1" x14ac:dyDescent="0.3">
      <c r="A462" t="s">
        <v>500</v>
      </c>
      <c r="B462" t="s">
        <v>37</v>
      </c>
      <c r="D462" t="s">
        <v>13</v>
      </c>
      <c r="F462" t="s">
        <v>14</v>
      </c>
      <c r="G462" s="2">
        <v>4815.08</v>
      </c>
      <c r="H462" t="s">
        <v>15</v>
      </c>
      <c r="I462">
        <v>10</v>
      </c>
    </row>
    <row r="463" spans="1:9" hidden="1" x14ac:dyDescent="0.3">
      <c r="A463" t="s">
        <v>501</v>
      </c>
      <c r="B463" t="s">
        <v>17</v>
      </c>
      <c r="D463" t="s">
        <v>56</v>
      </c>
      <c r="F463" t="s">
        <v>57</v>
      </c>
      <c r="G463" s="2">
        <v>2798.99</v>
      </c>
      <c r="H463" t="s">
        <v>15</v>
      </c>
      <c r="I463">
        <v>16</v>
      </c>
    </row>
    <row r="464" spans="1:9" hidden="1" x14ac:dyDescent="0.3">
      <c r="A464" t="s">
        <v>502</v>
      </c>
      <c r="B464" t="s">
        <v>46</v>
      </c>
      <c r="D464" t="s">
        <v>62</v>
      </c>
      <c r="F464" t="s">
        <v>19</v>
      </c>
      <c r="G464" s="2">
        <v>12870.24</v>
      </c>
      <c r="H464" t="s">
        <v>11</v>
      </c>
      <c r="I464">
        <v>0</v>
      </c>
    </row>
    <row r="465" spans="1:9" hidden="1" x14ac:dyDescent="0.3">
      <c r="A465" t="s">
        <v>503</v>
      </c>
      <c r="B465" t="s">
        <v>31</v>
      </c>
      <c r="D465" t="s">
        <v>56</v>
      </c>
      <c r="F465" t="s">
        <v>57</v>
      </c>
      <c r="G465" s="2">
        <v>14518.4</v>
      </c>
      <c r="H465" t="s">
        <v>20</v>
      </c>
      <c r="I465">
        <v>9</v>
      </c>
    </row>
    <row r="466" spans="1:9" hidden="1" x14ac:dyDescent="0.3">
      <c r="A466" t="s">
        <v>504</v>
      </c>
      <c r="B466" t="s">
        <v>52</v>
      </c>
      <c r="D466" t="s">
        <v>18</v>
      </c>
      <c r="F466" t="s">
        <v>19</v>
      </c>
      <c r="G466" s="2">
        <v>3862.18</v>
      </c>
      <c r="H466" t="s">
        <v>15</v>
      </c>
      <c r="I466">
        <v>6</v>
      </c>
    </row>
    <row r="467" spans="1:9" hidden="1" x14ac:dyDescent="0.3">
      <c r="A467" t="s">
        <v>505</v>
      </c>
      <c r="B467" t="s">
        <v>22</v>
      </c>
      <c r="D467" t="s">
        <v>28</v>
      </c>
      <c r="F467" t="s">
        <v>29</v>
      </c>
      <c r="G467" s="2">
        <v>1432.34</v>
      </c>
      <c r="H467" t="s">
        <v>35</v>
      </c>
      <c r="I467">
        <v>13</v>
      </c>
    </row>
    <row r="468" spans="1:9" hidden="1" x14ac:dyDescent="0.3">
      <c r="A468" t="s">
        <v>506</v>
      </c>
      <c r="B468" t="s">
        <v>8</v>
      </c>
      <c r="D468" t="s">
        <v>62</v>
      </c>
      <c r="F468" t="s">
        <v>19</v>
      </c>
      <c r="G468" s="2">
        <v>5688.66</v>
      </c>
      <c r="H468" t="s">
        <v>20</v>
      </c>
      <c r="I468">
        <v>3</v>
      </c>
    </row>
    <row r="469" spans="1:9" hidden="1" x14ac:dyDescent="0.3">
      <c r="A469" t="s">
        <v>507</v>
      </c>
      <c r="B469" t="s">
        <v>46</v>
      </c>
      <c r="D469" t="s">
        <v>18</v>
      </c>
      <c r="F469" t="s">
        <v>19</v>
      </c>
      <c r="G469" s="2">
        <v>12079.53</v>
      </c>
      <c r="H469" t="s">
        <v>20</v>
      </c>
      <c r="I469">
        <v>43</v>
      </c>
    </row>
    <row r="470" spans="1:9" hidden="1" x14ac:dyDescent="0.3">
      <c r="A470" t="s">
        <v>508</v>
      </c>
      <c r="B470" t="s">
        <v>37</v>
      </c>
      <c r="D470" t="s">
        <v>18</v>
      </c>
      <c r="F470" t="s">
        <v>19</v>
      </c>
      <c r="G470" s="2">
        <v>7216.94</v>
      </c>
      <c r="H470" t="s">
        <v>35</v>
      </c>
      <c r="I470">
        <v>22</v>
      </c>
    </row>
    <row r="471" spans="1:9" hidden="1" x14ac:dyDescent="0.3">
      <c r="A471" t="s">
        <v>509</v>
      </c>
      <c r="B471" t="s">
        <v>52</v>
      </c>
      <c r="D471" t="s">
        <v>99</v>
      </c>
      <c r="F471" t="s">
        <v>29</v>
      </c>
      <c r="G471" s="2">
        <v>3216.53</v>
      </c>
      <c r="H471" t="s">
        <v>11</v>
      </c>
      <c r="I471">
        <v>0</v>
      </c>
    </row>
    <row r="472" spans="1:9" hidden="1" x14ac:dyDescent="0.3">
      <c r="A472" t="s">
        <v>510</v>
      </c>
      <c r="B472" t="s">
        <v>17</v>
      </c>
      <c r="D472" t="s">
        <v>18</v>
      </c>
      <c r="F472" t="s">
        <v>19</v>
      </c>
      <c r="G472" s="2">
        <v>10449.61</v>
      </c>
      <c r="H472" t="s">
        <v>20</v>
      </c>
      <c r="I472">
        <v>26</v>
      </c>
    </row>
    <row r="473" spans="1:9" hidden="1" x14ac:dyDescent="0.3">
      <c r="A473" t="s">
        <v>511</v>
      </c>
      <c r="B473" t="s">
        <v>46</v>
      </c>
      <c r="D473" t="s">
        <v>13</v>
      </c>
      <c r="F473" t="s">
        <v>14</v>
      </c>
      <c r="G473" s="2">
        <v>4858.1400000000003</v>
      </c>
      <c r="H473" t="s">
        <v>15</v>
      </c>
      <c r="I473">
        <v>30</v>
      </c>
    </row>
    <row r="474" spans="1:9" hidden="1" x14ac:dyDescent="0.3">
      <c r="A474" t="s">
        <v>512</v>
      </c>
      <c r="B474" t="s">
        <v>52</v>
      </c>
      <c r="D474" t="s">
        <v>28</v>
      </c>
      <c r="F474" t="s">
        <v>29</v>
      </c>
      <c r="G474" s="2">
        <v>4660.91</v>
      </c>
      <c r="H474" t="s">
        <v>15</v>
      </c>
      <c r="I474">
        <v>57</v>
      </c>
    </row>
    <row r="475" spans="1:9" x14ac:dyDescent="0.3">
      <c r="A475" t="s">
        <v>513</v>
      </c>
      <c r="B475" t="s">
        <v>27</v>
      </c>
      <c r="D475" t="s">
        <v>40</v>
      </c>
      <c r="F475" t="s">
        <v>41</v>
      </c>
      <c r="G475" s="2">
        <v>1524.19</v>
      </c>
      <c r="H475" t="s">
        <v>47</v>
      </c>
      <c r="I475">
        <v>31</v>
      </c>
    </row>
    <row r="476" spans="1:9" hidden="1" x14ac:dyDescent="0.3">
      <c r="A476" t="s">
        <v>514</v>
      </c>
      <c r="B476" t="s">
        <v>17</v>
      </c>
      <c r="D476" t="s">
        <v>18</v>
      </c>
      <c r="F476" t="s">
        <v>19</v>
      </c>
      <c r="G476" s="2">
        <v>5592.04</v>
      </c>
      <c r="H476" t="s">
        <v>15</v>
      </c>
      <c r="I476">
        <v>37</v>
      </c>
    </row>
    <row r="477" spans="1:9" hidden="1" x14ac:dyDescent="0.3">
      <c r="A477" t="s">
        <v>515</v>
      </c>
      <c r="B477" t="s">
        <v>54</v>
      </c>
      <c r="D477" t="s">
        <v>24</v>
      </c>
      <c r="F477" t="s">
        <v>25</v>
      </c>
      <c r="G477" s="2">
        <v>292.49</v>
      </c>
      <c r="H477" t="s">
        <v>20</v>
      </c>
      <c r="I477">
        <v>38</v>
      </c>
    </row>
    <row r="478" spans="1:9" hidden="1" x14ac:dyDescent="0.3">
      <c r="A478" t="s">
        <v>516</v>
      </c>
      <c r="B478" t="s">
        <v>54</v>
      </c>
      <c r="D478" t="s">
        <v>56</v>
      </c>
      <c r="F478" t="s">
        <v>57</v>
      </c>
      <c r="G478" s="2">
        <v>4463.12</v>
      </c>
      <c r="H478" t="s">
        <v>11</v>
      </c>
      <c r="I478">
        <v>4</v>
      </c>
    </row>
    <row r="479" spans="1:9" hidden="1" x14ac:dyDescent="0.3">
      <c r="A479" t="s">
        <v>517</v>
      </c>
      <c r="B479" t="s">
        <v>27</v>
      </c>
      <c r="D479" t="s">
        <v>18</v>
      </c>
      <c r="F479" t="s">
        <v>19</v>
      </c>
      <c r="G479" s="2">
        <v>7514.56</v>
      </c>
      <c r="H479" t="s">
        <v>20</v>
      </c>
      <c r="I479">
        <v>44</v>
      </c>
    </row>
    <row r="480" spans="1:9" hidden="1" x14ac:dyDescent="0.3">
      <c r="A480" t="s">
        <v>518</v>
      </c>
      <c r="B480" t="s">
        <v>52</v>
      </c>
      <c r="D480" t="s">
        <v>62</v>
      </c>
      <c r="F480" t="s">
        <v>19</v>
      </c>
      <c r="G480" s="2">
        <v>11462.24</v>
      </c>
      <c r="H480" t="s">
        <v>15</v>
      </c>
      <c r="I480">
        <v>47</v>
      </c>
    </row>
    <row r="481" spans="1:9" x14ac:dyDescent="0.3">
      <c r="A481" t="s">
        <v>519</v>
      </c>
      <c r="B481" t="s">
        <v>44</v>
      </c>
      <c r="D481" t="s">
        <v>40</v>
      </c>
      <c r="F481" t="s">
        <v>41</v>
      </c>
      <c r="G481" s="2">
        <v>2565.09</v>
      </c>
      <c r="H481" t="s">
        <v>35</v>
      </c>
      <c r="I481">
        <v>11</v>
      </c>
    </row>
    <row r="482" spans="1:9" hidden="1" x14ac:dyDescent="0.3">
      <c r="A482" t="s">
        <v>520</v>
      </c>
      <c r="B482" t="s">
        <v>22</v>
      </c>
      <c r="D482" t="s">
        <v>13</v>
      </c>
      <c r="F482" t="s">
        <v>14</v>
      </c>
      <c r="G482" s="2">
        <v>7350.33</v>
      </c>
      <c r="H482" t="s">
        <v>47</v>
      </c>
      <c r="I482">
        <v>35</v>
      </c>
    </row>
    <row r="483" spans="1:9" hidden="1" x14ac:dyDescent="0.3">
      <c r="A483" t="s">
        <v>521</v>
      </c>
      <c r="B483" t="s">
        <v>22</v>
      </c>
      <c r="D483" t="s">
        <v>13</v>
      </c>
      <c r="F483" t="s">
        <v>14</v>
      </c>
      <c r="G483" s="2">
        <v>555.66999999999996</v>
      </c>
      <c r="H483" t="s">
        <v>35</v>
      </c>
      <c r="I483">
        <v>53</v>
      </c>
    </row>
    <row r="484" spans="1:9" hidden="1" x14ac:dyDescent="0.3">
      <c r="A484" t="s">
        <v>522</v>
      </c>
      <c r="B484" t="s">
        <v>8</v>
      </c>
      <c r="D484" t="s">
        <v>99</v>
      </c>
      <c r="F484" t="s">
        <v>29</v>
      </c>
      <c r="G484" s="2">
        <v>6215.26</v>
      </c>
      <c r="H484" t="s">
        <v>35</v>
      </c>
      <c r="I484">
        <v>15</v>
      </c>
    </row>
    <row r="485" spans="1:9" hidden="1" x14ac:dyDescent="0.3">
      <c r="A485" t="s">
        <v>523</v>
      </c>
      <c r="B485" t="s">
        <v>22</v>
      </c>
      <c r="D485" t="s">
        <v>24</v>
      </c>
      <c r="F485" t="s">
        <v>25</v>
      </c>
      <c r="G485" s="2">
        <v>186.66</v>
      </c>
      <c r="H485" t="s">
        <v>15</v>
      </c>
      <c r="I485">
        <v>24</v>
      </c>
    </row>
    <row r="486" spans="1:9" hidden="1" x14ac:dyDescent="0.3">
      <c r="A486" t="s">
        <v>524</v>
      </c>
      <c r="B486" t="s">
        <v>52</v>
      </c>
      <c r="D486" t="s">
        <v>32</v>
      </c>
      <c r="F486" t="s">
        <v>33</v>
      </c>
      <c r="G486" s="2">
        <v>9584.0400000000009</v>
      </c>
      <c r="H486" t="s">
        <v>47</v>
      </c>
      <c r="I486">
        <v>59</v>
      </c>
    </row>
    <row r="487" spans="1:9" x14ac:dyDescent="0.3">
      <c r="A487" t="s">
        <v>525</v>
      </c>
      <c r="B487" t="s">
        <v>22</v>
      </c>
      <c r="D487" t="s">
        <v>40</v>
      </c>
      <c r="F487" t="s">
        <v>41</v>
      </c>
      <c r="G487" s="2">
        <v>285.19</v>
      </c>
      <c r="H487" t="s">
        <v>15</v>
      </c>
      <c r="I487">
        <v>27</v>
      </c>
    </row>
    <row r="488" spans="1:9" hidden="1" x14ac:dyDescent="0.3">
      <c r="A488" t="s">
        <v>526</v>
      </c>
      <c r="B488" t="s">
        <v>46</v>
      </c>
      <c r="D488" t="s">
        <v>99</v>
      </c>
      <c r="F488" t="s">
        <v>29</v>
      </c>
      <c r="G488" s="2">
        <v>7964.79</v>
      </c>
      <c r="H488" t="s">
        <v>11</v>
      </c>
      <c r="I488">
        <v>0</v>
      </c>
    </row>
    <row r="489" spans="1:9" hidden="1" x14ac:dyDescent="0.3">
      <c r="A489" t="s">
        <v>527</v>
      </c>
      <c r="B489" t="s">
        <v>8</v>
      </c>
      <c r="D489" t="s">
        <v>56</v>
      </c>
      <c r="F489" t="s">
        <v>57</v>
      </c>
      <c r="G489" s="2">
        <v>12102.21</v>
      </c>
      <c r="H489" t="s">
        <v>47</v>
      </c>
      <c r="I489">
        <v>7</v>
      </c>
    </row>
    <row r="490" spans="1:9" hidden="1" x14ac:dyDescent="0.3">
      <c r="A490" t="s">
        <v>528</v>
      </c>
      <c r="B490" t="s">
        <v>27</v>
      </c>
      <c r="D490" t="s">
        <v>13</v>
      </c>
      <c r="F490" t="s">
        <v>14</v>
      </c>
      <c r="G490" s="2">
        <v>2276.02</v>
      </c>
      <c r="H490" t="s">
        <v>11</v>
      </c>
      <c r="I490">
        <v>0</v>
      </c>
    </row>
    <row r="491" spans="1:9" hidden="1" x14ac:dyDescent="0.3">
      <c r="A491" t="s">
        <v>529</v>
      </c>
      <c r="B491" t="s">
        <v>54</v>
      </c>
      <c r="D491" t="s">
        <v>62</v>
      </c>
      <c r="F491" t="s">
        <v>19</v>
      </c>
      <c r="G491" s="2">
        <v>11934.3</v>
      </c>
      <c r="H491" t="s">
        <v>11</v>
      </c>
      <c r="I491">
        <v>7</v>
      </c>
    </row>
    <row r="492" spans="1:9" hidden="1" x14ac:dyDescent="0.3">
      <c r="A492" t="s">
        <v>530</v>
      </c>
      <c r="B492" t="s">
        <v>22</v>
      </c>
      <c r="D492" t="s">
        <v>18</v>
      </c>
      <c r="F492" t="s">
        <v>19</v>
      </c>
      <c r="G492" s="2">
        <v>14853.98</v>
      </c>
      <c r="H492" t="s">
        <v>11</v>
      </c>
      <c r="I492">
        <v>0</v>
      </c>
    </row>
    <row r="493" spans="1:9" hidden="1" x14ac:dyDescent="0.3">
      <c r="A493" t="s">
        <v>531</v>
      </c>
      <c r="B493" t="s">
        <v>22</v>
      </c>
      <c r="D493" t="s">
        <v>9</v>
      </c>
      <c r="F493" t="s">
        <v>10</v>
      </c>
      <c r="G493" s="2">
        <v>6108.91</v>
      </c>
      <c r="H493" t="s">
        <v>15</v>
      </c>
      <c r="I493">
        <v>31</v>
      </c>
    </row>
    <row r="494" spans="1:9" hidden="1" x14ac:dyDescent="0.3">
      <c r="A494" t="s">
        <v>532</v>
      </c>
      <c r="B494" t="s">
        <v>27</v>
      </c>
      <c r="D494" t="s">
        <v>99</v>
      </c>
      <c r="F494" t="s">
        <v>29</v>
      </c>
      <c r="G494" s="2">
        <v>10557.53</v>
      </c>
      <c r="H494" t="s">
        <v>11</v>
      </c>
      <c r="I494">
        <v>14</v>
      </c>
    </row>
    <row r="495" spans="1:9" hidden="1" x14ac:dyDescent="0.3">
      <c r="A495" t="s">
        <v>533</v>
      </c>
      <c r="B495" t="s">
        <v>46</v>
      </c>
      <c r="D495" t="s">
        <v>32</v>
      </c>
      <c r="F495" t="s">
        <v>33</v>
      </c>
      <c r="G495" s="2">
        <v>14661.07</v>
      </c>
      <c r="H495" t="s">
        <v>47</v>
      </c>
      <c r="I495">
        <v>58</v>
      </c>
    </row>
    <row r="496" spans="1:9" hidden="1" x14ac:dyDescent="0.3">
      <c r="A496" t="s">
        <v>534</v>
      </c>
      <c r="B496" t="s">
        <v>54</v>
      </c>
      <c r="D496" t="s">
        <v>99</v>
      </c>
      <c r="F496" t="s">
        <v>29</v>
      </c>
      <c r="G496" s="2">
        <v>3485.01</v>
      </c>
      <c r="H496" t="s">
        <v>47</v>
      </c>
      <c r="I496">
        <v>45</v>
      </c>
    </row>
    <row r="497" spans="1:9" x14ac:dyDescent="0.3">
      <c r="A497" t="s">
        <v>535</v>
      </c>
      <c r="B497" t="s">
        <v>37</v>
      </c>
      <c r="D497" t="s">
        <v>40</v>
      </c>
      <c r="F497" t="s">
        <v>41</v>
      </c>
      <c r="G497" s="2">
        <v>4102.87</v>
      </c>
      <c r="H497" t="s">
        <v>47</v>
      </c>
      <c r="I497">
        <v>44</v>
      </c>
    </row>
    <row r="498" spans="1:9" hidden="1" x14ac:dyDescent="0.3">
      <c r="A498" t="s">
        <v>536</v>
      </c>
      <c r="B498" t="s">
        <v>22</v>
      </c>
      <c r="D498" t="s">
        <v>13</v>
      </c>
      <c r="F498" t="s">
        <v>14</v>
      </c>
      <c r="G498" s="2">
        <v>8474.4699999999993</v>
      </c>
      <c r="H498" t="s">
        <v>11</v>
      </c>
      <c r="I498">
        <v>0</v>
      </c>
    </row>
    <row r="499" spans="1:9" hidden="1" x14ac:dyDescent="0.3">
      <c r="A499" t="s">
        <v>537</v>
      </c>
      <c r="B499" t="s">
        <v>31</v>
      </c>
      <c r="D499" t="s">
        <v>18</v>
      </c>
      <c r="F499" t="s">
        <v>19</v>
      </c>
      <c r="G499" s="2">
        <v>8826.19</v>
      </c>
      <c r="H499" t="s">
        <v>35</v>
      </c>
      <c r="I499">
        <v>46</v>
      </c>
    </row>
    <row r="500" spans="1:9" hidden="1" x14ac:dyDescent="0.3">
      <c r="A500" t="s">
        <v>538</v>
      </c>
      <c r="B500" t="s">
        <v>31</v>
      </c>
      <c r="D500" t="s">
        <v>9</v>
      </c>
      <c r="F500" t="s">
        <v>10</v>
      </c>
      <c r="G500" s="2">
        <v>4524.1899999999996</v>
      </c>
      <c r="H500" t="s">
        <v>20</v>
      </c>
      <c r="I500">
        <v>37</v>
      </c>
    </row>
    <row r="501" spans="1:9" hidden="1" x14ac:dyDescent="0.3">
      <c r="A501" t="s">
        <v>539</v>
      </c>
      <c r="B501" t="s">
        <v>8</v>
      </c>
      <c r="D501" t="s">
        <v>13</v>
      </c>
      <c r="F501" t="s">
        <v>14</v>
      </c>
      <c r="G501" s="2">
        <v>5009.3599999999997</v>
      </c>
      <c r="H501" t="s">
        <v>35</v>
      </c>
      <c r="I501">
        <v>9</v>
      </c>
    </row>
    <row r="502" spans="1:9" hidden="1" x14ac:dyDescent="0.3">
      <c r="A502" t="s">
        <v>540</v>
      </c>
      <c r="B502" t="s">
        <v>31</v>
      </c>
      <c r="D502" t="s">
        <v>13</v>
      </c>
      <c r="F502" t="s">
        <v>14</v>
      </c>
      <c r="G502" s="2">
        <v>11194.58</v>
      </c>
      <c r="H502" t="s">
        <v>15</v>
      </c>
      <c r="I502">
        <v>7</v>
      </c>
    </row>
    <row r="503" spans="1:9" hidden="1" x14ac:dyDescent="0.3">
      <c r="A503" t="s">
        <v>541</v>
      </c>
      <c r="B503" t="s">
        <v>54</v>
      </c>
      <c r="D503" t="s">
        <v>18</v>
      </c>
      <c r="F503" t="s">
        <v>19</v>
      </c>
      <c r="G503" s="2">
        <v>12588.19</v>
      </c>
      <c r="H503" t="s">
        <v>15</v>
      </c>
      <c r="I503">
        <v>50</v>
      </c>
    </row>
    <row r="504" spans="1:9" hidden="1" x14ac:dyDescent="0.3">
      <c r="A504" t="s">
        <v>542</v>
      </c>
      <c r="B504" t="s">
        <v>37</v>
      </c>
      <c r="D504" t="s">
        <v>32</v>
      </c>
      <c r="F504" t="s">
        <v>33</v>
      </c>
      <c r="G504" s="2">
        <v>5980.71</v>
      </c>
      <c r="H504" t="s">
        <v>35</v>
      </c>
      <c r="I504">
        <v>2</v>
      </c>
    </row>
    <row r="505" spans="1:9" x14ac:dyDescent="0.3">
      <c r="A505" t="s">
        <v>543</v>
      </c>
      <c r="B505" t="s">
        <v>31</v>
      </c>
      <c r="D505" t="s">
        <v>40</v>
      </c>
      <c r="F505" t="s">
        <v>41</v>
      </c>
      <c r="G505" s="2">
        <v>7384.52</v>
      </c>
      <c r="H505" t="s">
        <v>15</v>
      </c>
      <c r="I505">
        <v>25</v>
      </c>
    </row>
    <row r="506" spans="1:9" hidden="1" x14ac:dyDescent="0.3">
      <c r="A506" t="s">
        <v>544</v>
      </c>
      <c r="B506" t="s">
        <v>54</v>
      </c>
      <c r="D506" t="s">
        <v>24</v>
      </c>
      <c r="F506" t="s">
        <v>25</v>
      </c>
      <c r="G506" s="2">
        <v>10211.44</v>
      </c>
      <c r="H506" t="s">
        <v>20</v>
      </c>
      <c r="I506">
        <v>6</v>
      </c>
    </row>
    <row r="507" spans="1:9" hidden="1" x14ac:dyDescent="0.3">
      <c r="A507" t="s">
        <v>545</v>
      </c>
      <c r="B507" t="s">
        <v>37</v>
      </c>
      <c r="D507" t="s">
        <v>62</v>
      </c>
      <c r="F507" t="s">
        <v>19</v>
      </c>
      <c r="G507" s="2">
        <v>11980.92</v>
      </c>
      <c r="H507" t="s">
        <v>20</v>
      </c>
      <c r="I507">
        <v>6</v>
      </c>
    </row>
    <row r="508" spans="1:9" hidden="1" x14ac:dyDescent="0.3">
      <c r="A508" t="s">
        <v>546</v>
      </c>
      <c r="B508" t="s">
        <v>31</v>
      </c>
      <c r="D508" t="s">
        <v>24</v>
      </c>
      <c r="F508" t="s">
        <v>25</v>
      </c>
      <c r="G508" s="2">
        <v>5731</v>
      </c>
      <c r="H508" t="s">
        <v>35</v>
      </c>
      <c r="I508">
        <v>10</v>
      </c>
    </row>
    <row r="509" spans="1:9" hidden="1" x14ac:dyDescent="0.3">
      <c r="A509" t="s">
        <v>547</v>
      </c>
      <c r="B509" t="s">
        <v>27</v>
      </c>
      <c r="D509" t="s">
        <v>28</v>
      </c>
      <c r="F509" t="s">
        <v>29</v>
      </c>
      <c r="G509" s="2">
        <v>5442.47</v>
      </c>
      <c r="H509" t="s">
        <v>11</v>
      </c>
      <c r="I509">
        <v>5</v>
      </c>
    </row>
    <row r="510" spans="1:9" hidden="1" x14ac:dyDescent="0.3">
      <c r="A510" t="s">
        <v>548</v>
      </c>
      <c r="B510" t="s">
        <v>46</v>
      </c>
      <c r="D510" t="s">
        <v>62</v>
      </c>
      <c r="F510" t="s">
        <v>19</v>
      </c>
      <c r="G510" s="2">
        <v>1578.36</v>
      </c>
      <c r="H510" t="s">
        <v>11</v>
      </c>
      <c r="I510">
        <v>7</v>
      </c>
    </row>
    <row r="511" spans="1:9" hidden="1" x14ac:dyDescent="0.3">
      <c r="A511" t="s">
        <v>549</v>
      </c>
      <c r="B511" t="s">
        <v>46</v>
      </c>
      <c r="D511" t="s">
        <v>13</v>
      </c>
      <c r="F511" t="s">
        <v>14</v>
      </c>
      <c r="G511" s="2">
        <v>7710.99</v>
      </c>
      <c r="H511" t="s">
        <v>11</v>
      </c>
      <c r="I511">
        <v>0</v>
      </c>
    </row>
    <row r="512" spans="1:9" hidden="1" x14ac:dyDescent="0.3">
      <c r="A512" t="s">
        <v>550</v>
      </c>
      <c r="B512" t="s">
        <v>31</v>
      </c>
      <c r="D512" t="s">
        <v>9</v>
      </c>
      <c r="F512" t="s">
        <v>10</v>
      </c>
      <c r="G512" s="2">
        <v>8974.02</v>
      </c>
      <c r="H512" t="s">
        <v>35</v>
      </c>
      <c r="I512">
        <v>56</v>
      </c>
    </row>
    <row r="513" spans="1:9" hidden="1" x14ac:dyDescent="0.3">
      <c r="A513" t="s">
        <v>551</v>
      </c>
      <c r="B513" t="s">
        <v>46</v>
      </c>
      <c r="D513" t="s">
        <v>99</v>
      </c>
      <c r="F513" t="s">
        <v>29</v>
      </c>
      <c r="G513" s="2">
        <v>4413.12</v>
      </c>
      <c r="H513" t="s">
        <v>15</v>
      </c>
      <c r="I513">
        <v>6</v>
      </c>
    </row>
    <row r="514" spans="1:9" hidden="1" x14ac:dyDescent="0.3">
      <c r="A514" t="s">
        <v>552</v>
      </c>
      <c r="B514" t="s">
        <v>44</v>
      </c>
      <c r="D514" t="s">
        <v>18</v>
      </c>
      <c r="F514" t="s">
        <v>19</v>
      </c>
      <c r="G514" s="2">
        <v>8600.81</v>
      </c>
      <c r="H514" t="s">
        <v>11</v>
      </c>
      <c r="I514">
        <v>0</v>
      </c>
    </row>
    <row r="515" spans="1:9" hidden="1" x14ac:dyDescent="0.3">
      <c r="A515" t="s">
        <v>553</v>
      </c>
      <c r="B515" t="s">
        <v>44</v>
      </c>
      <c r="D515" t="s">
        <v>62</v>
      </c>
      <c r="F515" t="s">
        <v>19</v>
      </c>
      <c r="G515" s="2">
        <v>4551.91</v>
      </c>
      <c r="H515" t="s">
        <v>15</v>
      </c>
      <c r="I515">
        <v>5</v>
      </c>
    </row>
    <row r="516" spans="1:9" hidden="1" x14ac:dyDescent="0.3">
      <c r="A516" t="s">
        <v>554</v>
      </c>
      <c r="B516" t="s">
        <v>8</v>
      </c>
      <c r="D516" t="s">
        <v>56</v>
      </c>
      <c r="F516" t="s">
        <v>57</v>
      </c>
      <c r="G516" s="2">
        <v>4175.63</v>
      </c>
      <c r="H516" t="s">
        <v>15</v>
      </c>
      <c r="I516">
        <v>51</v>
      </c>
    </row>
    <row r="517" spans="1:9" hidden="1" x14ac:dyDescent="0.3">
      <c r="A517" t="s">
        <v>555</v>
      </c>
      <c r="B517" t="s">
        <v>54</v>
      </c>
      <c r="D517" t="s">
        <v>28</v>
      </c>
      <c r="F517" t="s">
        <v>29</v>
      </c>
      <c r="G517" s="2">
        <v>3812.91</v>
      </c>
      <c r="H517" t="s">
        <v>11</v>
      </c>
      <c r="I517">
        <v>11</v>
      </c>
    </row>
    <row r="518" spans="1:9" hidden="1" x14ac:dyDescent="0.3">
      <c r="A518" t="s">
        <v>556</v>
      </c>
      <c r="B518" t="s">
        <v>31</v>
      </c>
      <c r="D518" t="s">
        <v>32</v>
      </c>
      <c r="F518" t="s">
        <v>33</v>
      </c>
      <c r="G518" s="2">
        <v>2973.45</v>
      </c>
      <c r="H518" t="s">
        <v>11</v>
      </c>
      <c r="I518">
        <v>0</v>
      </c>
    </row>
    <row r="519" spans="1:9" hidden="1" x14ac:dyDescent="0.3">
      <c r="A519" t="s">
        <v>557</v>
      </c>
      <c r="B519" t="s">
        <v>27</v>
      </c>
      <c r="D519" t="s">
        <v>28</v>
      </c>
      <c r="F519" t="s">
        <v>29</v>
      </c>
      <c r="G519" s="2">
        <v>12632.12</v>
      </c>
      <c r="H519" t="s">
        <v>15</v>
      </c>
      <c r="I519">
        <v>56</v>
      </c>
    </row>
    <row r="520" spans="1:9" x14ac:dyDescent="0.3">
      <c r="A520" t="s">
        <v>558</v>
      </c>
      <c r="B520" t="s">
        <v>54</v>
      </c>
      <c r="D520" t="s">
        <v>40</v>
      </c>
      <c r="F520" t="s">
        <v>41</v>
      </c>
      <c r="G520" s="2">
        <v>5054.3100000000004</v>
      </c>
      <c r="H520" t="s">
        <v>35</v>
      </c>
      <c r="I520">
        <v>56</v>
      </c>
    </row>
    <row r="521" spans="1:9" hidden="1" x14ac:dyDescent="0.3">
      <c r="A521" t="s">
        <v>559</v>
      </c>
      <c r="B521" t="s">
        <v>17</v>
      </c>
      <c r="D521" t="s">
        <v>24</v>
      </c>
      <c r="F521" t="s">
        <v>25</v>
      </c>
      <c r="G521" s="2">
        <v>4541.51</v>
      </c>
      <c r="H521" t="s">
        <v>20</v>
      </c>
      <c r="I521">
        <v>45</v>
      </c>
    </row>
    <row r="522" spans="1:9" x14ac:dyDescent="0.3">
      <c r="A522" t="s">
        <v>560</v>
      </c>
      <c r="B522" t="s">
        <v>37</v>
      </c>
      <c r="D522" t="s">
        <v>40</v>
      </c>
      <c r="F522" t="s">
        <v>41</v>
      </c>
      <c r="G522" s="2">
        <v>4747.04</v>
      </c>
      <c r="H522" t="s">
        <v>47</v>
      </c>
      <c r="I522">
        <v>21</v>
      </c>
    </row>
    <row r="523" spans="1:9" x14ac:dyDescent="0.3">
      <c r="A523" t="s">
        <v>561</v>
      </c>
      <c r="B523" t="s">
        <v>31</v>
      </c>
      <c r="D523" t="s">
        <v>40</v>
      </c>
      <c r="F523" t="s">
        <v>41</v>
      </c>
      <c r="G523" s="2">
        <v>14518.06</v>
      </c>
      <c r="H523" t="s">
        <v>35</v>
      </c>
      <c r="I523">
        <v>21</v>
      </c>
    </row>
    <row r="524" spans="1:9" hidden="1" x14ac:dyDescent="0.3">
      <c r="A524" t="s">
        <v>562</v>
      </c>
      <c r="B524" t="s">
        <v>54</v>
      </c>
      <c r="D524" t="s">
        <v>62</v>
      </c>
      <c r="F524" t="s">
        <v>19</v>
      </c>
      <c r="G524" s="2">
        <v>12256.59</v>
      </c>
      <c r="H524" t="s">
        <v>15</v>
      </c>
      <c r="I524">
        <v>8</v>
      </c>
    </row>
    <row r="525" spans="1:9" hidden="1" x14ac:dyDescent="0.3">
      <c r="A525" t="s">
        <v>563</v>
      </c>
      <c r="B525" t="s">
        <v>46</v>
      </c>
      <c r="D525" t="s">
        <v>18</v>
      </c>
      <c r="F525" t="s">
        <v>19</v>
      </c>
      <c r="G525" s="2">
        <v>8903.7900000000009</v>
      </c>
      <c r="H525" t="s">
        <v>15</v>
      </c>
      <c r="I525">
        <v>44</v>
      </c>
    </row>
    <row r="526" spans="1:9" hidden="1" x14ac:dyDescent="0.3">
      <c r="A526" t="s">
        <v>564</v>
      </c>
      <c r="B526" t="s">
        <v>17</v>
      </c>
      <c r="D526" t="s">
        <v>99</v>
      </c>
      <c r="F526" t="s">
        <v>29</v>
      </c>
      <c r="G526" s="2">
        <v>14297.42</v>
      </c>
      <c r="H526" t="s">
        <v>15</v>
      </c>
      <c r="I526">
        <v>46</v>
      </c>
    </row>
    <row r="527" spans="1:9" x14ac:dyDescent="0.3">
      <c r="A527" t="s">
        <v>565</v>
      </c>
      <c r="B527" t="s">
        <v>31</v>
      </c>
      <c r="D527" t="s">
        <v>40</v>
      </c>
      <c r="F527" t="s">
        <v>41</v>
      </c>
      <c r="G527" s="2">
        <v>11975.4</v>
      </c>
      <c r="H527" t="s">
        <v>35</v>
      </c>
      <c r="I527">
        <v>5</v>
      </c>
    </row>
    <row r="528" spans="1:9" x14ac:dyDescent="0.3">
      <c r="A528" t="s">
        <v>566</v>
      </c>
      <c r="B528" t="s">
        <v>44</v>
      </c>
      <c r="D528" t="s">
        <v>40</v>
      </c>
      <c r="F528" t="s">
        <v>41</v>
      </c>
      <c r="G528" s="2">
        <v>2130.73</v>
      </c>
      <c r="H528" t="s">
        <v>15</v>
      </c>
      <c r="I528">
        <v>17</v>
      </c>
    </row>
    <row r="529" spans="1:9" hidden="1" x14ac:dyDescent="0.3">
      <c r="A529" t="s">
        <v>567</v>
      </c>
      <c r="B529" t="s">
        <v>54</v>
      </c>
      <c r="D529" t="s">
        <v>56</v>
      </c>
      <c r="F529" t="s">
        <v>57</v>
      </c>
      <c r="G529" s="2">
        <v>11846.7</v>
      </c>
      <c r="H529" t="s">
        <v>11</v>
      </c>
      <c r="I529">
        <v>10</v>
      </c>
    </row>
    <row r="530" spans="1:9" hidden="1" x14ac:dyDescent="0.3">
      <c r="A530" t="s">
        <v>568</v>
      </c>
      <c r="B530" t="s">
        <v>31</v>
      </c>
      <c r="D530" t="s">
        <v>56</v>
      </c>
      <c r="F530" t="s">
        <v>57</v>
      </c>
      <c r="G530" s="2">
        <v>8038.79</v>
      </c>
      <c r="H530" t="s">
        <v>47</v>
      </c>
      <c r="I530">
        <v>56</v>
      </c>
    </row>
    <row r="531" spans="1:9" hidden="1" x14ac:dyDescent="0.3">
      <c r="A531" t="s">
        <v>569</v>
      </c>
      <c r="B531" t="s">
        <v>46</v>
      </c>
      <c r="D531" t="s">
        <v>13</v>
      </c>
      <c r="F531" t="s">
        <v>14</v>
      </c>
      <c r="G531" s="2">
        <v>599.64</v>
      </c>
      <c r="H531" t="s">
        <v>47</v>
      </c>
      <c r="I531">
        <v>45</v>
      </c>
    </row>
    <row r="532" spans="1:9" hidden="1" x14ac:dyDescent="0.3">
      <c r="A532" t="s">
        <v>570</v>
      </c>
      <c r="B532" t="s">
        <v>27</v>
      </c>
      <c r="D532" t="s">
        <v>32</v>
      </c>
      <c r="F532" t="s">
        <v>33</v>
      </c>
      <c r="G532" s="2">
        <v>9590.7999999999993</v>
      </c>
      <c r="H532" t="s">
        <v>11</v>
      </c>
      <c r="I532">
        <v>0</v>
      </c>
    </row>
    <row r="533" spans="1:9" hidden="1" x14ac:dyDescent="0.3">
      <c r="A533" t="s">
        <v>571</v>
      </c>
      <c r="B533" t="s">
        <v>27</v>
      </c>
      <c r="D533" t="s">
        <v>24</v>
      </c>
      <c r="F533" t="s">
        <v>25</v>
      </c>
      <c r="G533" s="2">
        <v>9722.65</v>
      </c>
      <c r="H533" t="s">
        <v>11</v>
      </c>
      <c r="I533">
        <v>11</v>
      </c>
    </row>
    <row r="534" spans="1:9" hidden="1" x14ac:dyDescent="0.3">
      <c r="A534" t="s">
        <v>572</v>
      </c>
      <c r="B534" t="s">
        <v>52</v>
      </c>
      <c r="D534" t="s">
        <v>56</v>
      </c>
      <c r="F534" t="s">
        <v>57</v>
      </c>
      <c r="G534" s="2">
        <v>1633.87</v>
      </c>
      <c r="H534" t="s">
        <v>11</v>
      </c>
      <c r="I534">
        <v>0</v>
      </c>
    </row>
    <row r="535" spans="1:9" hidden="1" x14ac:dyDescent="0.3">
      <c r="A535" t="s">
        <v>573</v>
      </c>
      <c r="B535" t="s">
        <v>46</v>
      </c>
      <c r="D535" t="s">
        <v>28</v>
      </c>
      <c r="F535" t="s">
        <v>29</v>
      </c>
      <c r="G535" s="2">
        <v>5897.46</v>
      </c>
      <c r="H535" t="s">
        <v>35</v>
      </c>
      <c r="I535">
        <v>38</v>
      </c>
    </row>
    <row r="536" spans="1:9" hidden="1" x14ac:dyDescent="0.3">
      <c r="A536" t="s">
        <v>574</v>
      </c>
      <c r="B536" t="s">
        <v>31</v>
      </c>
      <c r="D536" t="s">
        <v>24</v>
      </c>
      <c r="F536" t="s">
        <v>25</v>
      </c>
      <c r="G536" s="2">
        <v>5207.26</v>
      </c>
      <c r="H536" t="s">
        <v>11</v>
      </c>
      <c r="I536">
        <v>0</v>
      </c>
    </row>
    <row r="537" spans="1:9" hidden="1" x14ac:dyDescent="0.3">
      <c r="A537" t="s">
        <v>575</v>
      </c>
      <c r="B537" t="s">
        <v>27</v>
      </c>
      <c r="D537" t="s">
        <v>9</v>
      </c>
      <c r="F537" t="s">
        <v>10</v>
      </c>
      <c r="G537" s="2">
        <v>1785.24</v>
      </c>
      <c r="H537" t="s">
        <v>47</v>
      </c>
      <c r="I537">
        <v>10</v>
      </c>
    </row>
    <row r="538" spans="1:9" hidden="1" x14ac:dyDescent="0.3">
      <c r="A538" t="s">
        <v>576</v>
      </c>
      <c r="B538" t="s">
        <v>52</v>
      </c>
      <c r="D538" t="s">
        <v>62</v>
      </c>
      <c r="F538" t="s">
        <v>19</v>
      </c>
      <c r="G538" s="2">
        <v>5178.8500000000004</v>
      </c>
      <c r="H538" t="s">
        <v>35</v>
      </c>
      <c r="I538">
        <v>34</v>
      </c>
    </row>
    <row r="539" spans="1:9" hidden="1" x14ac:dyDescent="0.3">
      <c r="A539" t="s">
        <v>577</v>
      </c>
      <c r="B539" t="s">
        <v>52</v>
      </c>
      <c r="D539" t="s">
        <v>28</v>
      </c>
      <c r="F539" t="s">
        <v>29</v>
      </c>
      <c r="G539" s="2">
        <v>7168.63</v>
      </c>
      <c r="H539" t="s">
        <v>15</v>
      </c>
      <c r="I539">
        <v>45</v>
      </c>
    </row>
    <row r="540" spans="1:9" hidden="1" x14ac:dyDescent="0.3">
      <c r="A540" t="s">
        <v>578</v>
      </c>
      <c r="B540" t="s">
        <v>22</v>
      </c>
      <c r="D540" t="s">
        <v>28</v>
      </c>
      <c r="F540" t="s">
        <v>29</v>
      </c>
      <c r="G540" s="2">
        <v>1054.26</v>
      </c>
      <c r="H540" t="s">
        <v>11</v>
      </c>
      <c r="I540">
        <v>0</v>
      </c>
    </row>
    <row r="541" spans="1:9" hidden="1" x14ac:dyDescent="0.3">
      <c r="A541" t="s">
        <v>579</v>
      </c>
      <c r="B541" t="s">
        <v>17</v>
      </c>
      <c r="D541" t="s">
        <v>28</v>
      </c>
      <c r="F541" t="s">
        <v>29</v>
      </c>
      <c r="G541" s="2">
        <v>9737.15</v>
      </c>
      <c r="H541" t="s">
        <v>20</v>
      </c>
      <c r="I541">
        <v>11</v>
      </c>
    </row>
    <row r="542" spans="1:9" hidden="1" x14ac:dyDescent="0.3">
      <c r="A542" t="s">
        <v>580</v>
      </c>
      <c r="B542" t="s">
        <v>52</v>
      </c>
      <c r="D542" t="s">
        <v>13</v>
      </c>
      <c r="F542" t="s">
        <v>14</v>
      </c>
      <c r="G542" s="2">
        <v>2658.08</v>
      </c>
      <c r="H542" t="s">
        <v>11</v>
      </c>
      <c r="I542">
        <v>9</v>
      </c>
    </row>
    <row r="543" spans="1:9" hidden="1" x14ac:dyDescent="0.3">
      <c r="A543" t="s">
        <v>581</v>
      </c>
      <c r="B543" t="s">
        <v>31</v>
      </c>
      <c r="D543" t="s">
        <v>18</v>
      </c>
      <c r="F543" t="s">
        <v>19</v>
      </c>
      <c r="G543" s="2">
        <v>11976.45</v>
      </c>
      <c r="H543" t="s">
        <v>20</v>
      </c>
      <c r="I543">
        <v>12</v>
      </c>
    </row>
    <row r="544" spans="1:9" hidden="1" x14ac:dyDescent="0.3">
      <c r="A544" t="s">
        <v>582</v>
      </c>
      <c r="B544" t="s">
        <v>52</v>
      </c>
      <c r="D544" t="s">
        <v>56</v>
      </c>
      <c r="F544" t="s">
        <v>57</v>
      </c>
      <c r="G544" s="2">
        <v>486.42</v>
      </c>
      <c r="H544" t="s">
        <v>20</v>
      </c>
      <c r="I544">
        <v>13</v>
      </c>
    </row>
    <row r="545" spans="1:9" hidden="1" x14ac:dyDescent="0.3">
      <c r="A545" t="s">
        <v>583</v>
      </c>
      <c r="B545" t="s">
        <v>37</v>
      </c>
      <c r="D545" t="s">
        <v>32</v>
      </c>
      <c r="F545" t="s">
        <v>33</v>
      </c>
      <c r="G545" s="2">
        <v>6471.81</v>
      </c>
      <c r="H545" t="s">
        <v>11</v>
      </c>
      <c r="I545">
        <v>0</v>
      </c>
    </row>
    <row r="546" spans="1:9" hidden="1" x14ac:dyDescent="0.3">
      <c r="A546" t="s">
        <v>584</v>
      </c>
      <c r="B546" t="s">
        <v>44</v>
      </c>
      <c r="D546" t="s">
        <v>9</v>
      </c>
      <c r="F546" t="s">
        <v>10</v>
      </c>
      <c r="G546" s="2">
        <v>8681.35</v>
      </c>
      <c r="H546" t="s">
        <v>35</v>
      </c>
      <c r="I546">
        <v>35</v>
      </c>
    </row>
    <row r="547" spans="1:9" hidden="1" x14ac:dyDescent="0.3">
      <c r="A547" t="s">
        <v>585</v>
      </c>
      <c r="B547" t="s">
        <v>52</v>
      </c>
      <c r="D547" t="s">
        <v>28</v>
      </c>
      <c r="F547" t="s">
        <v>29</v>
      </c>
      <c r="G547" s="2">
        <v>4923.47</v>
      </c>
      <c r="H547" t="s">
        <v>15</v>
      </c>
      <c r="I547">
        <v>17</v>
      </c>
    </row>
    <row r="548" spans="1:9" hidden="1" x14ac:dyDescent="0.3">
      <c r="A548" t="s">
        <v>586</v>
      </c>
      <c r="B548" t="s">
        <v>54</v>
      </c>
      <c r="D548" t="s">
        <v>13</v>
      </c>
      <c r="F548" t="s">
        <v>14</v>
      </c>
      <c r="G548" s="2">
        <v>14490.45</v>
      </c>
      <c r="H548" t="s">
        <v>15</v>
      </c>
      <c r="I548">
        <v>25</v>
      </c>
    </row>
    <row r="549" spans="1:9" hidden="1" x14ac:dyDescent="0.3">
      <c r="A549" t="s">
        <v>587</v>
      </c>
      <c r="B549" t="s">
        <v>52</v>
      </c>
      <c r="D549" t="s">
        <v>56</v>
      </c>
      <c r="F549" t="s">
        <v>57</v>
      </c>
      <c r="G549" s="2">
        <v>8825.7199999999993</v>
      </c>
      <c r="H549" t="s">
        <v>15</v>
      </c>
      <c r="I549">
        <v>55</v>
      </c>
    </row>
    <row r="550" spans="1:9" hidden="1" x14ac:dyDescent="0.3">
      <c r="A550" t="s">
        <v>588</v>
      </c>
      <c r="B550" t="s">
        <v>37</v>
      </c>
      <c r="D550" t="s">
        <v>32</v>
      </c>
      <c r="F550" t="s">
        <v>33</v>
      </c>
      <c r="G550" s="2">
        <v>2629.29</v>
      </c>
      <c r="H550" t="s">
        <v>20</v>
      </c>
      <c r="I550">
        <v>52</v>
      </c>
    </row>
    <row r="551" spans="1:9" hidden="1" x14ac:dyDescent="0.3">
      <c r="A551" t="s">
        <v>589</v>
      </c>
      <c r="B551" t="s">
        <v>8</v>
      </c>
      <c r="D551" t="s">
        <v>32</v>
      </c>
      <c r="F551" t="s">
        <v>33</v>
      </c>
      <c r="G551" s="2">
        <v>8873.02</v>
      </c>
      <c r="H551" t="s">
        <v>20</v>
      </c>
      <c r="I551">
        <v>21</v>
      </c>
    </row>
    <row r="552" spans="1:9" hidden="1" x14ac:dyDescent="0.3">
      <c r="A552" t="s">
        <v>590</v>
      </c>
      <c r="B552" t="s">
        <v>46</v>
      </c>
      <c r="D552" t="s">
        <v>18</v>
      </c>
      <c r="F552" t="s">
        <v>19</v>
      </c>
      <c r="G552" s="2">
        <v>4615.43</v>
      </c>
      <c r="H552" t="s">
        <v>11</v>
      </c>
      <c r="I552">
        <v>0</v>
      </c>
    </row>
    <row r="553" spans="1:9" hidden="1" x14ac:dyDescent="0.3">
      <c r="A553" t="s">
        <v>591</v>
      </c>
      <c r="B553" t="s">
        <v>44</v>
      </c>
      <c r="D553" t="s">
        <v>56</v>
      </c>
      <c r="F553" t="s">
        <v>57</v>
      </c>
      <c r="G553" s="2">
        <v>6302.67</v>
      </c>
      <c r="H553" t="s">
        <v>11</v>
      </c>
      <c r="I553">
        <v>7</v>
      </c>
    </row>
    <row r="554" spans="1:9" x14ac:dyDescent="0.3">
      <c r="A554" t="s">
        <v>592</v>
      </c>
      <c r="B554" t="s">
        <v>44</v>
      </c>
      <c r="D554" t="s">
        <v>40</v>
      </c>
      <c r="F554" t="s">
        <v>41</v>
      </c>
      <c r="G554" s="2">
        <v>9550.75</v>
      </c>
      <c r="H554" t="s">
        <v>20</v>
      </c>
      <c r="I554">
        <v>42</v>
      </c>
    </row>
    <row r="555" spans="1:9" hidden="1" x14ac:dyDescent="0.3">
      <c r="A555" t="s">
        <v>593</v>
      </c>
      <c r="B555" t="s">
        <v>27</v>
      </c>
      <c r="D555" t="s">
        <v>13</v>
      </c>
      <c r="F555" t="s">
        <v>14</v>
      </c>
      <c r="G555" s="2">
        <v>2544.64</v>
      </c>
      <c r="H555" t="s">
        <v>15</v>
      </c>
      <c r="I555">
        <v>12</v>
      </c>
    </row>
    <row r="556" spans="1:9" x14ac:dyDescent="0.3">
      <c r="A556" t="s">
        <v>594</v>
      </c>
      <c r="B556" t="s">
        <v>52</v>
      </c>
      <c r="D556" t="s">
        <v>40</v>
      </c>
      <c r="F556" t="s">
        <v>41</v>
      </c>
      <c r="G556" s="2">
        <v>9310.18</v>
      </c>
      <c r="H556" t="s">
        <v>35</v>
      </c>
      <c r="I556">
        <v>1</v>
      </c>
    </row>
    <row r="557" spans="1:9" hidden="1" x14ac:dyDescent="0.3">
      <c r="A557" t="s">
        <v>595</v>
      </c>
      <c r="B557" t="s">
        <v>46</v>
      </c>
      <c r="D557" t="s">
        <v>24</v>
      </c>
      <c r="F557" t="s">
        <v>25</v>
      </c>
      <c r="G557" s="2">
        <v>2967.17</v>
      </c>
      <c r="H557" t="s">
        <v>15</v>
      </c>
      <c r="I557">
        <v>36</v>
      </c>
    </row>
    <row r="558" spans="1:9" x14ac:dyDescent="0.3">
      <c r="A558" t="s">
        <v>596</v>
      </c>
      <c r="B558" t="s">
        <v>52</v>
      </c>
      <c r="D558" t="s">
        <v>40</v>
      </c>
      <c r="F558" t="s">
        <v>41</v>
      </c>
      <c r="G558" s="2">
        <v>6166.56</v>
      </c>
      <c r="H558" t="s">
        <v>15</v>
      </c>
      <c r="I558">
        <v>46</v>
      </c>
    </row>
    <row r="559" spans="1:9" x14ac:dyDescent="0.3">
      <c r="A559" t="s">
        <v>597</v>
      </c>
      <c r="B559" t="s">
        <v>17</v>
      </c>
      <c r="D559" t="s">
        <v>40</v>
      </c>
      <c r="F559" t="s">
        <v>41</v>
      </c>
      <c r="G559" s="2">
        <v>2550.44</v>
      </c>
      <c r="H559" t="s">
        <v>20</v>
      </c>
      <c r="I559">
        <v>51</v>
      </c>
    </row>
    <row r="560" spans="1:9" hidden="1" x14ac:dyDescent="0.3">
      <c r="A560" t="s">
        <v>598</v>
      </c>
      <c r="B560" t="s">
        <v>52</v>
      </c>
      <c r="D560" t="s">
        <v>62</v>
      </c>
      <c r="F560" t="s">
        <v>19</v>
      </c>
      <c r="G560" s="2">
        <v>538.79</v>
      </c>
      <c r="H560" t="s">
        <v>11</v>
      </c>
      <c r="I560">
        <v>0</v>
      </c>
    </row>
    <row r="561" spans="1:9" hidden="1" x14ac:dyDescent="0.3">
      <c r="A561" t="s">
        <v>599</v>
      </c>
      <c r="B561" t="s">
        <v>46</v>
      </c>
      <c r="D561" t="s">
        <v>32</v>
      </c>
      <c r="F561" t="s">
        <v>33</v>
      </c>
      <c r="G561" s="2">
        <v>11150.65</v>
      </c>
      <c r="H561" t="s">
        <v>35</v>
      </c>
      <c r="I561">
        <v>36</v>
      </c>
    </row>
    <row r="562" spans="1:9" hidden="1" x14ac:dyDescent="0.3">
      <c r="A562" t="s">
        <v>600</v>
      </c>
      <c r="B562" t="s">
        <v>46</v>
      </c>
      <c r="D562" t="s">
        <v>9</v>
      </c>
      <c r="F562" t="s">
        <v>10</v>
      </c>
      <c r="G562" s="2">
        <v>8612.08</v>
      </c>
      <c r="H562" t="s">
        <v>11</v>
      </c>
      <c r="I562">
        <v>0</v>
      </c>
    </row>
    <row r="563" spans="1:9" hidden="1" x14ac:dyDescent="0.3">
      <c r="A563" t="s">
        <v>601</v>
      </c>
      <c r="B563" t="s">
        <v>31</v>
      </c>
      <c r="D563" t="s">
        <v>99</v>
      </c>
      <c r="F563" t="s">
        <v>29</v>
      </c>
      <c r="G563" s="2">
        <v>11412.06</v>
      </c>
      <c r="H563" t="s">
        <v>15</v>
      </c>
      <c r="I563">
        <v>14</v>
      </c>
    </row>
    <row r="564" spans="1:9" hidden="1" x14ac:dyDescent="0.3">
      <c r="A564" t="s">
        <v>602</v>
      </c>
      <c r="B564" t="s">
        <v>37</v>
      </c>
      <c r="D564" t="s">
        <v>9</v>
      </c>
      <c r="F564" t="s">
        <v>10</v>
      </c>
      <c r="G564" s="2">
        <v>11053.03</v>
      </c>
      <c r="H564" t="s">
        <v>20</v>
      </c>
      <c r="I564">
        <v>16</v>
      </c>
    </row>
    <row r="565" spans="1:9" hidden="1" x14ac:dyDescent="0.3">
      <c r="A565" t="s">
        <v>603</v>
      </c>
      <c r="B565" t="s">
        <v>8</v>
      </c>
      <c r="D565" t="s">
        <v>99</v>
      </c>
      <c r="F565" t="s">
        <v>29</v>
      </c>
      <c r="G565" s="2">
        <v>6773.5</v>
      </c>
      <c r="H565" t="s">
        <v>15</v>
      </c>
      <c r="I565">
        <v>53</v>
      </c>
    </row>
    <row r="566" spans="1:9" x14ac:dyDescent="0.3">
      <c r="A566" t="s">
        <v>604</v>
      </c>
      <c r="B566" t="s">
        <v>17</v>
      </c>
      <c r="D566" t="s">
        <v>40</v>
      </c>
      <c r="F566" t="s">
        <v>41</v>
      </c>
      <c r="G566" s="2">
        <v>12986.09</v>
      </c>
      <c r="H566" t="s">
        <v>11</v>
      </c>
      <c r="I566">
        <v>0</v>
      </c>
    </row>
    <row r="567" spans="1:9" hidden="1" x14ac:dyDescent="0.3">
      <c r="A567" t="s">
        <v>605</v>
      </c>
      <c r="B567" t="s">
        <v>31</v>
      </c>
      <c r="D567" t="s">
        <v>32</v>
      </c>
      <c r="F567" t="s">
        <v>33</v>
      </c>
      <c r="G567" s="2">
        <v>10352.549999999999</v>
      </c>
      <c r="H567" t="s">
        <v>35</v>
      </c>
      <c r="I567">
        <v>40</v>
      </c>
    </row>
    <row r="568" spans="1:9" hidden="1" x14ac:dyDescent="0.3">
      <c r="A568" t="s">
        <v>606</v>
      </c>
      <c r="B568" t="s">
        <v>17</v>
      </c>
      <c r="D568" t="s">
        <v>24</v>
      </c>
      <c r="F568" t="s">
        <v>25</v>
      </c>
      <c r="G568" s="2">
        <v>9261.4599999999991</v>
      </c>
      <c r="H568" t="s">
        <v>35</v>
      </c>
      <c r="I568">
        <v>53</v>
      </c>
    </row>
    <row r="569" spans="1:9" hidden="1" x14ac:dyDescent="0.3">
      <c r="A569" t="s">
        <v>607</v>
      </c>
      <c r="B569" t="s">
        <v>46</v>
      </c>
      <c r="D569" t="s">
        <v>99</v>
      </c>
      <c r="F569" t="s">
        <v>29</v>
      </c>
      <c r="G569" s="2">
        <v>8572.61</v>
      </c>
      <c r="H569" t="s">
        <v>15</v>
      </c>
      <c r="I569">
        <v>39</v>
      </c>
    </row>
    <row r="570" spans="1:9" hidden="1" x14ac:dyDescent="0.3">
      <c r="A570" t="s">
        <v>608</v>
      </c>
      <c r="B570" t="s">
        <v>54</v>
      </c>
      <c r="D570" t="s">
        <v>24</v>
      </c>
      <c r="F570" t="s">
        <v>25</v>
      </c>
      <c r="G570" s="2">
        <v>4888.62</v>
      </c>
      <c r="H570" t="s">
        <v>20</v>
      </c>
      <c r="I570">
        <v>19</v>
      </c>
    </row>
    <row r="571" spans="1:9" hidden="1" x14ac:dyDescent="0.3">
      <c r="A571" t="s">
        <v>609</v>
      </c>
      <c r="B571" t="s">
        <v>8</v>
      </c>
      <c r="D571" t="s">
        <v>62</v>
      </c>
      <c r="F571" t="s">
        <v>19</v>
      </c>
      <c r="G571" s="2">
        <v>14288.34</v>
      </c>
      <c r="H571" t="s">
        <v>15</v>
      </c>
      <c r="I571">
        <v>58</v>
      </c>
    </row>
    <row r="572" spans="1:9" hidden="1" x14ac:dyDescent="0.3">
      <c r="A572" t="s">
        <v>610</v>
      </c>
      <c r="B572" t="s">
        <v>22</v>
      </c>
      <c r="D572" t="s">
        <v>24</v>
      </c>
      <c r="F572" t="s">
        <v>25</v>
      </c>
      <c r="G572" s="2">
        <v>14443.44</v>
      </c>
      <c r="H572" t="s">
        <v>35</v>
      </c>
      <c r="I572">
        <v>59</v>
      </c>
    </row>
    <row r="573" spans="1:9" hidden="1" x14ac:dyDescent="0.3">
      <c r="A573" t="s">
        <v>611</v>
      </c>
      <c r="B573" t="s">
        <v>17</v>
      </c>
      <c r="D573" t="s">
        <v>62</v>
      </c>
      <c r="F573" t="s">
        <v>19</v>
      </c>
      <c r="G573" s="2">
        <v>13012.36</v>
      </c>
      <c r="H573" t="s">
        <v>11</v>
      </c>
      <c r="I573">
        <v>0</v>
      </c>
    </row>
    <row r="574" spans="1:9" hidden="1" x14ac:dyDescent="0.3">
      <c r="A574" t="s">
        <v>612</v>
      </c>
      <c r="B574" t="s">
        <v>31</v>
      </c>
      <c r="D574" t="s">
        <v>24</v>
      </c>
      <c r="F574" t="s">
        <v>25</v>
      </c>
      <c r="G574" s="2">
        <v>10685.35</v>
      </c>
      <c r="H574" t="s">
        <v>35</v>
      </c>
      <c r="I574">
        <v>49</v>
      </c>
    </row>
    <row r="575" spans="1:9" x14ac:dyDescent="0.3">
      <c r="A575" t="s">
        <v>613</v>
      </c>
      <c r="B575" t="s">
        <v>31</v>
      </c>
      <c r="D575" t="s">
        <v>40</v>
      </c>
      <c r="F575" t="s">
        <v>41</v>
      </c>
      <c r="G575" s="2">
        <v>2175.4699999999998</v>
      </c>
      <c r="H575" t="s">
        <v>20</v>
      </c>
      <c r="I575">
        <v>41</v>
      </c>
    </row>
    <row r="576" spans="1:9" hidden="1" x14ac:dyDescent="0.3">
      <c r="A576" t="s">
        <v>614</v>
      </c>
      <c r="B576" t="s">
        <v>8</v>
      </c>
      <c r="D576" t="s">
        <v>56</v>
      </c>
      <c r="F576" t="s">
        <v>57</v>
      </c>
      <c r="G576" s="2">
        <v>6807.28</v>
      </c>
      <c r="H576" t="s">
        <v>20</v>
      </c>
      <c r="I576">
        <v>57</v>
      </c>
    </row>
    <row r="577" spans="1:9" hidden="1" x14ac:dyDescent="0.3">
      <c r="A577" t="s">
        <v>615</v>
      </c>
      <c r="B577" t="s">
        <v>52</v>
      </c>
      <c r="D577" t="s">
        <v>56</v>
      </c>
      <c r="F577" t="s">
        <v>57</v>
      </c>
      <c r="G577" s="2">
        <v>7758.42</v>
      </c>
      <c r="H577" t="s">
        <v>11</v>
      </c>
      <c r="I577">
        <v>0</v>
      </c>
    </row>
    <row r="578" spans="1:9" x14ac:dyDescent="0.3">
      <c r="A578" t="s">
        <v>616</v>
      </c>
      <c r="B578" t="s">
        <v>52</v>
      </c>
      <c r="D578" t="s">
        <v>40</v>
      </c>
      <c r="F578" t="s">
        <v>41</v>
      </c>
      <c r="G578" s="2">
        <v>4942.97</v>
      </c>
      <c r="H578" t="s">
        <v>11</v>
      </c>
      <c r="I578">
        <v>0</v>
      </c>
    </row>
    <row r="579" spans="1:9" hidden="1" x14ac:dyDescent="0.3">
      <c r="A579" t="s">
        <v>617</v>
      </c>
      <c r="B579" t="s">
        <v>17</v>
      </c>
      <c r="D579" t="s">
        <v>28</v>
      </c>
      <c r="F579" t="s">
        <v>29</v>
      </c>
      <c r="G579" s="2">
        <v>12759.09</v>
      </c>
      <c r="H579" t="s">
        <v>35</v>
      </c>
      <c r="I579">
        <v>26</v>
      </c>
    </row>
    <row r="580" spans="1:9" hidden="1" x14ac:dyDescent="0.3">
      <c r="A580" t="s">
        <v>618</v>
      </c>
      <c r="B580" t="s">
        <v>37</v>
      </c>
      <c r="D580" t="s">
        <v>56</v>
      </c>
      <c r="F580" t="s">
        <v>57</v>
      </c>
      <c r="G580" s="2">
        <v>12381.47</v>
      </c>
      <c r="H580" t="s">
        <v>15</v>
      </c>
      <c r="I580">
        <v>21</v>
      </c>
    </row>
    <row r="581" spans="1:9" hidden="1" x14ac:dyDescent="0.3">
      <c r="A581" t="s">
        <v>619</v>
      </c>
      <c r="B581" t="s">
        <v>27</v>
      </c>
      <c r="D581" t="s">
        <v>28</v>
      </c>
      <c r="F581" t="s">
        <v>29</v>
      </c>
      <c r="G581" s="2">
        <v>8232.2900000000009</v>
      </c>
      <c r="H581" t="s">
        <v>11</v>
      </c>
      <c r="I581">
        <v>14</v>
      </c>
    </row>
    <row r="582" spans="1:9" hidden="1" x14ac:dyDescent="0.3">
      <c r="A582" t="s">
        <v>620</v>
      </c>
      <c r="B582" t="s">
        <v>52</v>
      </c>
      <c r="D582" t="s">
        <v>99</v>
      </c>
      <c r="F582" t="s">
        <v>29</v>
      </c>
      <c r="G582" s="2">
        <v>736.85</v>
      </c>
      <c r="H582" t="s">
        <v>20</v>
      </c>
      <c r="I582">
        <v>54</v>
      </c>
    </row>
    <row r="583" spans="1:9" hidden="1" x14ac:dyDescent="0.3">
      <c r="A583" t="s">
        <v>621</v>
      </c>
      <c r="B583" t="s">
        <v>52</v>
      </c>
      <c r="D583" t="s">
        <v>99</v>
      </c>
      <c r="F583" t="s">
        <v>29</v>
      </c>
      <c r="G583" s="2">
        <v>1907.35</v>
      </c>
      <c r="H583" t="s">
        <v>35</v>
      </c>
      <c r="I583">
        <v>29</v>
      </c>
    </row>
    <row r="584" spans="1:9" hidden="1" x14ac:dyDescent="0.3">
      <c r="A584" t="s">
        <v>622</v>
      </c>
      <c r="B584" t="s">
        <v>44</v>
      </c>
      <c r="D584" t="s">
        <v>99</v>
      </c>
      <c r="F584" t="s">
        <v>29</v>
      </c>
      <c r="G584" s="2">
        <v>14877.98</v>
      </c>
      <c r="H584" t="s">
        <v>15</v>
      </c>
      <c r="I584">
        <v>45</v>
      </c>
    </row>
    <row r="585" spans="1:9" hidden="1" x14ac:dyDescent="0.3">
      <c r="A585" t="s">
        <v>623</v>
      </c>
      <c r="B585" t="s">
        <v>8</v>
      </c>
      <c r="D585" t="s">
        <v>62</v>
      </c>
      <c r="F585" t="s">
        <v>19</v>
      </c>
      <c r="G585" s="2">
        <v>2426.71</v>
      </c>
      <c r="H585" t="s">
        <v>47</v>
      </c>
      <c r="I585">
        <v>18</v>
      </c>
    </row>
    <row r="586" spans="1:9" hidden="1" x14ac:dyDescent="0.3">
      <c r="A586" t="s">
        <v>624</v>
      </c>
      <c r="B586" t="s">
        <v>44</v>
      </c>
      <c r="D586" t="s">
        <v>28</v>
      </c>
      <c r="F586" t="s">
        <v>29</v>
      </c>
      <c r="G586" s="2">
        <v>3793.32</v>
      </c>
      <c r="H586" t="s">
        <v>15</v>
      </c>
      <c r="I586">
        <v>58</v>
      </c>
    </row>
    <row r="587" spans="1:9" hidden="1" x14ac:dyDescent="0.3">
      <c r="A587" t="s">
        <v>625</v>
      </c>
      <c r="B587" t="s">
        <v>17</v>
      </c>
      <c r="D587" t="s">
        <v>99</v>
      </c>
      <c r="F587" t="s">
        <v>29</v>
      </c>
      <c r="G587" s="2">
        <v>5975.31</v>
      </c>
      <c r="H587" t="s">
        <v>15</v>
      </c>
      <c r="I587">
        <v>45</v>
      </c>
    </row>
    <row r="588" spans="1:9" hidden="1" x14ac:dyDescent="0.3">
      <c r="A588" t="s">
        <v>626</v>
      </c>
      <c r="B588" t="s">
        <v>17</v>
      </c>
      <c r="D588" t="s">
        <v>56</v>
      </c>
      <c r="F588" t="s">
        <v>57</v>
      </c>
      <c r="G588" s="2">
        <v>9849.5</v>
      </c>
      <c r="H588" t="s">
        <v>20</v>
      </c>
      <c r="I588">
        <v>1</v>
      </c>
    </row>
    <row r="589" spans="1:9" x14ac:dyDescent="0.3">
      <c r="A589" t="s">
        <v>627</v>
      </c>
      <c r="B589" t="s">
        <v>52</v>
      </c>
      <c r="D589" t="s">
        <v>40</v>
      </c>
      <c r="F589" t="s">
        <v>41</v>
      </c>
      <c r="G589" s="2">
        <v>1215.18</v>
      </c>
      <c r="H589" t="s">
        <v>20</v>
      </c>
      <c r="I589">
        <v>34</v>
      </c>
    </row>
    <row r="590" spans="1:9" hidden="1" x14ac:dyDescent="0.3">
      <c r="A590" t="s">
        <v>628</v>
      </c>
      <c r="B590" t="s">
        <v>31</v>
      </c>
      <c r="D590" t="s">
        <v>99</v>
      </c>
      <c r="F590" t="s">
        <v>29</v>
      </c>
      <c r="G590" s="2">
        <v>170.54</v>
      </c>
      <c r="H590" t="s">
        <v>15</v>
      </c>
      <c r="I590">
        <v>8</v>
      </c>
    </row>
    <row r="591" spans="1:9" hidden="1" x14ac:dyDescent="0.3">
      <c r="A591" t="s">
        <v>629</v>
      </c>
      <c r="B591" t="s">
        <v>8</v>
      </c>
      <c r="D591" t="s">
        <v>24</v>
      </c>
      <c r="F591" t="s">
        <v>25</v>
      </c>
      <c r="G591" s="2">
        <v>7191.62</v>
      </c>
      <c r="H591" t="s">
        <v>11</v>
      </c>
      <c r="I591">
        <v>0</v>
      </c>
    </row>
    <row r="592" spans="1:9" hidden="1" x14ac:dyDescent="0.3">
      <c r="A592" t="s">
        <v>630</v>
      </c>
      <c r="B592" t="s">
        <v>44</v>
      </c>
      <c r="D592" t="s">
        <v>28</v>
      </c>
      <c r="F592" t="s">
        <v>29</v>
      </c>
      <c r="G592" s="2">
        <v>5545.05</v>
      </c>
      <c r="H592" t="s">
        <v>15</v>
      </c>
      <c r="I592">
        <v>25</v>
      </c>
    </row>
    <row r="593" spans="1:9" hidden="1" x14ac:dyDescent="0.3">
      <c r="A593" t="s">
        <v>631</v>
      </c>
      <c r="B593" t="s">
        <v>44</v>
      </c>
      <c r="D593" t="s">
        <v>24</v>
      </c>
      <c r="F593" t="s">
        <v>25</v>
      </c>
      <c r="G593" s="2">
        <v>1072.75</v>
      </c>
      <c r="H593" t="s">
        <v>20</v>
      </c>
      <c r="I593">
        <v>40</v>
      </c>
    </row>
    <row r="594" spans="1:9" x14ac:dyDescent="0.3">
      <c r="A594" t="s">
        <v>632</v>
      </c>
      <c r="B594" t="s">
        <v>31</v>
      </c>
      <c r="D594" t="s">
        <v>40</v>
      </c>
      <c r="F594" t="s">
        <v>41</v>
      </c>
      <c r="G594" s="2">
        <v>5300.26</v>
      </c>
      <c r="H594" t="s">
        <v>11</v>
      </c>
      <c r="I594">
        <v>0</v>
      </c>
    </row>
    <row r="595" spans="1:9" hidden="1" x14ac:dyDescent="0.3">
      <c r="A595" t="s">
        <v>633</v>
      </c>
      <c r="B595" t="s">
        <v>8</v>
      </c>
      <c r="D595" t="s">
        <v>32</v>
      </c>
      <c r="F595" t="s">
        <v>33</v>
      </c>
      <c r="G595" s="2">
        <v>10314.16</v>
      </c>
      <c r="H595" t="s">
        <v>35</v>
      </c>
      <c r="I595">
        <v>6</v>
      </c>
    </row>
    <row r="596" spans="1:9" hidden="1" x14ac:dyDescent="0.3">
      <c r="A596" t="s">
        <v>634</v>
      </c>
      <c r="B596" t="s">
        <v>27</v>
      </c>
      <c r="D596" t="s">
        <v>24</v>
      </c>
      <c r="F596" t="s">
        <v>25</v>
      </c>
      <c r="G596" s="2">
        <v>11299.06</v>
      </c>
      <c r="H596" t="s">
        <v>20</v>
      </c>
      <c r="I596">
        <v>25</v>
      </c>
    </row>
    <row r="597" spans="1:9" hidden="1" x14ac:dyDescent="0.3">
      <c r="A597" t="s">
        <v>635</v>
      </c>
      <c r="B597" t="s">
        <v>17</v>
      </c>
      <c r="D597" t="s">
        <v>56</v>
      </c>
      <c r="F597" t="s">
        <v>57</v>
      </c>
      <c r="G597" s="2">
        <v>4751.83</v>
      </c>
      <c r="H597" t="s">
        <v>11</v>
      </c>
      <c r="I597">
        <v>0</v>
      </c>
    </row>
    <row r="598" spans="1:9" hidden="1" x14ac:dyDescent="0.3">
      <c r="A598" t="s">
        <v>636</v>
      </c>
      <c r="B598" t="s">
        <v>22</v>
      </c>
      <c r="D598" t="s">
        <v>13</v>
      </c>
      <c r="F598" t="s">
        <v>14</v>
      </c>
      <c r="G598" s="2">
        <v>9034.94</v>
      </c>
      <c r="H598" t="s">
        <v>35</v>
      </c>
      <c r="I598">
        <v>19</v>
      </c>
    </row>
    <row r="599" spans="1:9" hidden="1" x14ac:dyDescent="0.3">
      <c r="A599" t="s">
        <v>637</v>
      </c>
      <c r="B599" t="s">
        <v>31</v>
      </c>
      <c r="D599" t="s">
        <v>62</v>
      </c>
      <c r="F599" t="s">
        <v>19</v>
      </c>
      <c r="G599" s="2">
        <v>3121.41</v>
      </c>
      <c r="H599" t="s">
        <v>20</v>
      </c>
      <c r="I599">
        <v>13</v>
      </c>
    </row>
    <row r="600" spans="1:9" hidden="1" x14ac:dyDescent="0.3">
      <c r="A600" t="s">
        <v>638</v>
      </c>
      <c r="B600" t="s">
        <v>17</v>
      </c>
      <c r="D600" t="s">
        <v>62</v>
      </c>
      <c r="F600" t="s">
        <v>19</v>
      </c>
      <c r="G600" s="2">
        <v>9710.24</v>
      </c>
      <c r="H600" t="s">
        <v>35</v>
      </c>
      <c r="I600">
        <v>51</v>
      </c>
    </row>
    <row r="601" spans="1:9" x14ac:dyDescent="0.3">
      <c r="A601" t="s">
        <v>639</v>
      </c>
      <c r="B601" t="s">
        <v>46</v>
      </c>
      <c r="D601" t="s">
        <v>40</v>
      </c>
      <c r="F601" t="s">
        <v>41</v>
      </c>
      <c r="G601" s="2">
        <v>5818.99</v>
      </c>
      <c r="H601" t="s">
        <v>11</v>
      </c>
      <c r="I601">
        <v>0</v>
      </c>
    </row>
    <row r="602" spans="1:9" hidden="1" x14ac:dyDescent="0.3">
      <c r="A602" t="s">
        <v>640</v>
      </c>
      <c r="B602" t="s">
        <v>31</v>
      </c>
      <c r="D602" t="s">
        <v>99</v>
      </c>
      <c r="F602" t="s">
        <v>29</v>
      </c>
      <c r="G602" s="2">
        <v>14803.89</v>
      </c>
      <c r="H602" t="s">
        <v>47</v>
      </c>
      <c r="I602">
        <v>9</v>
      </c>
    </row>
    <row r="603" spans="1:9" hidden="1" x14ac:dyDescent="0.3">
      <c r="A603" t="s">
        <v>641</v>
      </c>
      <c r="B603" t="s">
        <v>52</v>
      </c>
      <c r="D603" t="s">
        <v>32</v>
      </c>
      <c r="F603" t="s">
        <v>33</v>
      </c>
      <c r="G603" s="2">
        <v>6341.91</v>
      </c>
      <c r="H603" t="s">
        <v>15</v>
      </c>
      <c r="I603">
        <v>12</v>
      </c>
    </row>
    <row r="604" spans="1:9" hidden="1" x14ac:dyDescent="0.3">
      <c r="A604" t="s">
        <v>642</v>
      </c>
      <c r="B604" t="s">
        <v>22</v>
      </c>
      <c r="D604" t="s">
        <v>9</v>
      </c>
      <c r="F604" t="s">
        <v>10</v>
      </c>
      <c r="G604" s="2">
        <v>299.51</v>
      </c>
      <c r="H604" t="s">
        <v>11</v>
      </c>
      <c r="I604">
        <v>0</v>
      </c>
    </row>
    <row r="605" spans="1:9" hidden="1" x14ac:dyDescent="0.3">
      <c r="A605" t="s">
        <v>643</v>
      </c>
      <c r="B605" t="s">
        <v>46</v>
      </c>
      <c r="D605" t="s">
        <v>99</v>
      </c>
      <c r="F605" t="s">
        <v>29</v>
      </c>
      <c r="G605" s="2">
        <v>14232.77</v>
      </c>
      <c r="H605" t="s">
        <v>15</v>
      </c>
      <c r="I605">
        <v>19</v>
      </c>
    </row>
    <row r="606" spans="1:9" hidden="1" x14ac:dyDescent="0.3">
      <c r="A606" t="s">
        <v>644</v>
      </c>
      <c r="B606" t="s">
        <v>46</v>
      </c>
      <c r="D606" t="s">
        <v>56</v>
      </c>
      <c r="F606" t="s">
        <v>57</v>
      </c>
      <c r="G606" s="2">
        <v>6382.45</v>
      </c>
      <c r="H606" t="s">
        <v>15</v>
      </c>
      <c r="I606">
        <v>41</v>
      </c>
    </row>
    <row r="607" spans="1:9" hidden="1" x14ac:dyDescent="0.3">
      <c r="A607" t="s">
        <v>645</v>
      </c>
      <c r="B607" t="s">
        <v>46</v>
      </c>
      <c r="D607" t="s">
        <v>13</v>
      </c>
      <c r="F607" t="s">
        <v>14</v>
      </c>
      <c r="G607" s="2">
        <v>9259.9</v>
      </c>
      <c r="H607" t="s">
        <v>11</v>
      </c>
      <c r="I607">
        <v>0</v>
      </c>
    </row>
    <row r="608" spans="1:9" hidden="1" x14ac:dyDescent="0.3">
      <c r="A608" t="s">
        <v>646</v>
      </c>
      <c r="B608" t="s">
        <v>54</v>
      </c>
      <c r="D608" t="s">
        <v>18</v>
      </c>
      <c r="F608" t="s">
        <v>19</v>
      </c>
      <c r="G608" s="2">
        <v>14615.99</v>
      </c>
      <c r="H608" t="s">
        <v>11</v>
      </c>
      <c r="I608">
        <v>6</v>
      </c>
    </row>
    <row r="609" spans="1:9" hidden="1" x14ac:dyDescent="0.3">
      <c r="A609" t="s">
        <v>647</v>
      </c>
      <c r="B609" t="s">
        <v>17</v>
      </c>
      <c r="D609" t="s">
        <v>9</v>
      </c>
      <c r="F609" t="s">
        <v>10</v>
      </c>
      <c r="G609" s="2">
        <v>4687.03</v>
      </c>
      <c r="H609" t="s">
        <v>15</v>
      </c>
      <c r="I609">
        <v>55</v>
      </c>
    </row>
    <row r="610" spans="1:9" hidden="1" x14ac:dyDescent="0.3">
      <c r="A610" t="s">
        <v>648</v>
      </c>
      <c r="B610" t="s">
        <v>52</v>
      </c>
      <c r="D610" t="s">
        <v>99</v>
      </c>
      <c r="F610" t="s">
        <v>29</v>
      </c>
      <c r="G610" s="2">
        <v>3704.97</v>
      </c>
      <c r="H610" t="s">
        <v>47</v>
      </c>
      <c r="I610">
        <v>8</v>
      </c>
    </row>
    <row r="611" spans="1:9" hidden="1" x14ac:dyDescent="0.3">
      <c r="A611" t="s">
        <v>649</v>
      </c>
      <c r="B611" t="s">
        <v>44</v>
      </c>
      <c r="D611" t="s">
        <v>32</v>
      </c>
      <c r="F611" t="s">
        <v>33</v>
      </c>
      <c r="G611" s="2">
        <v>9152.0400000000009</v>
      </c>
      <c r="H611" t="s">
        <v>15</v>
      </c>
      <c r="I611">
        <v>48</v>
      </c>
    </row>
    <row r="612" spans="1:9" hidden="1" x14ac:dyDescent="0.3">
      <c r="A612" t="s">
        <v>650</v>
      </c>
      <c r="B612" t="s">
        <v>52</v>
      </c>
      <c r="D612" t="s">
        <v>9</v>
      </c>
      <c r="F612" t="s">
        <v>10</v>
      </c>
      <c r="G612" s="2">
        <v>239.34</v>
      </c>
      <c r="H612" t="s">
        <v>11</v>
      </c>
      <c r="I612">
        <v>0</v>
      </c>
    </row>
    <row r="613" spans="1:9" hidden="1" x14ac:dyDescent="0.3">
      <c r="A613" t="s">
        <v>651</v>
      </c>
      <c r="B613" t="s">
        <v>37</v>
      </c>
      <c r="D613" t="s">
        <v>28</v>
      </c>
      <c r="F613" t="s">
        <v>29</v>
      </c>
      <c r="G613" s="2">
        <v>7868.93</v>
      </c>
      <c r="H613" t="s">
        <v>35</v>
      </c>
      <c r="I613">
        <v>47</v>
      </c>
    </row>
    <row r="614" spans="1:9" hidden="1" x14ac:dyDescent="0.3">
      <c r="A614" t="s">
        <v>652</v>
      </c>
      <c r="B614" t="s">
        <v>37</v>
      </c>
      <c r="D614" t="s">
        <v>24</v>
      </c>
      <c r="F614" t="s">
        <v>25</v>
      </c>
      <c r="G614" s="2">
        <v>5609.45</v>
      </c>
      <c r="H614" t="s">
        <v>35</v>
      </c>
      <c r="I614">
        <v>56</v>
      </c>
    </row>
    <row r="615" spans="1:9" hidden="1" x14ac:dyDescent="0.3">
      <c r="A615" t="s">
        <v>653</v>
      </c>
      <c r="B615" t="s">
        <v>37</v>
      </c>
      <c r="D615" t="s">
        <v>9</v>
      </c>
      <c r="F615" t="s">
        <v>10</v>
      </c>
      <c r="G615" s="2">
        <v>11582.88</v>
      </c>
      <c r="H615" t="s">
        <v>11</v>
      </c>
      <c r="I615">
        <v>13</v>
      </c>
    </row>
    <row r="616" spans="1:9" hidden="1" x14ac:dyDescent="0.3">
      <c r="A616" t="s">
        <v>654</v>
      </c>
      <c r="B616" t="s">
        <v>8</v>
      </c>
      <c r="D616" t="s">
        <v>13</v>
      </c>
      <c r="F616" t="s">
        <v>14</v>
      </c>
      <c r="G616" s="2">
        <v>1004.89</v>
      </c>
      <c r="H616" t="s">
        <v>20</v>
      </c>
      <c r="I616">
        <v>37</v>
      </c>
    </row>
    <row r="617" spans="1:9" x14ac:dyDescent="0.3">
      <c r="A617" t="s">
        <v>655</v>
      </c>
      <c r="B617" t="s">
        <v>54</v>
      </c>
      <c r="D617" t="s">
        <v>40</v>
      </c>
      <c r="F617" t="s">
        <v>41</v>
      </c>
      <c r="G617" s="2">
        <v>6855.21</v>
      </c>
      <c r="H617" t="s">
        <v>15</v>
      </c>
      <c r="I617">
        <v>32</v>
      </c>
    </row>
    <row r="618" spans="1:9" hidden="1" x14ac:dyDescent="0.3">
      <c r="A618" t="s">
        <v>656</v>
      </c>
      <c r="B618" t="s">
        <v>17</v>
      </c>
      <c r="D618" t="s">
        <v>24</v>
      </c>
      <c r="F618" t="s">
        <v>25</v>
      </c>
      <c r="G618" s="2">
        <v>5546.93</v>
      </c>
      <c r="H618" t="s">
        <v>11</v>
      </c>
      <c r="I618">
        <v>0</v>
      </c>
    </row>
    <row r="619" spans="1:9" hidden="1" x14ac:dyDescent="0.3">
      <c r="A619" t="s">
        <v>657</v>
      </c>
      <c r="B619" t="s">
        <v>17</v>
      </c>
      <c r="D619" t="s">
        <v>13</v>
      </c>
      <c r="F619" t="s">
        <v>14</v>
      </c>
      <c r="G619" s="2">
        <v>88.4</v>
      </c>
      <c r="H619" t="s">
        <v>35</v>
      </c>
      <c r="I619">
        <v>1</v>
      </c>
    </row>
    <row r="620" spans="1:9" hidden="1" x14ac:dyDescent="0.3">
      <c r="A620" t="s">
        <v>658</v>
      </c>
      <c r="B620" t="s">
        <v>44</v>
      </c>
      <c r="D620" t="s">
        <v>99</v>
      </c>
      <c r="F620" t="s">
        <v>29</v>
      </c>
      <c r="G620" s="2">
        <v>7102.88</v>
      </c>
      <c r="H620" t="s">
        <v>15</v>
      </c>
      <c r="I620">
        <v>10</v>
      </c>
    </row>
    <row r="621" spans="1:9" hidden="1" x14ac:dyDescent="0.3">
      <c r="A621" t="s">
        <v>659</v>
      </c>
      <c r="B621" t="s">
        <v>31</v>
      </c>
      <c r="D621" t="s">
        <v>99</v>
      </c>
      <c r="F621" t="s">
        <v>29</v>
      </c>
      <c r="G621" s="2">
        <v>8315.33</v>
      </c>
      <c r="H621" t="s">
        <v>47</v>
      </c>
      <c r="I621">
        <v>48</v>
      </c>
    </row>
    <row r="622" spans="1:9" hidden="1" x14ac:dyDescent="0.3">
      <c r="A622" t="s">
        <v>660</v>
      </c>
      <c r="B622" t="s">
        <v>27</v>
      </c>
      <c r="D622" t="s">
        <v>18</v>
      </c>
      <c r="F622" t="s">
        <v>19</v>
      </c>
      <c r="G622" s="2">
        <v>4860.9399999999996</v>
      </c>
      <c r="H622" t="s">
        <v>15</v>
      </c>
      <c r="I622">
        <v>47</v>
      </c>
    </row>
    <row r="623" spans="1:9" hidden="1" x14ac:dyDescent="0.3">
      <c r="A623" t="s">
        <v>661</v>
      </c>
      <c r="B623" t="s">
        <v>46</v>
      </c>
      <c r="D623" t="s">
        <v>62</v>
      </c>
      <c r="F623" t="s">
        <v>19</v>
      </c>
      <c r="G623" s="2">
        <v>12398.66</v>
      </c>
      <c r="H623" t="s">
        <v>20</v>
      </c>
      <c r="I623">
        <v>8</v>
      </c>
    </row>
    <row r="624" spans="1:9" hidden="1" x14ac:dyDescent="0.3">
      <c r="A624" t="s">
        <v>662</v>
      </c>
      <c r="B624" t="s">
        <v>31</v>
      </c>
      <c r="D624" t="s">
        <v>99</v>
      </c>
      <c r="F624" t="s">
        <v>29</v>
      </c>
      <c r="G624" s="2">
        <v>2731.2</v>
      </c>
      <c r="H624" t="s">
        <v>35</v>
      </c>
      <c r="I624">
        <v>3</v>
      </c>
    </row>
    <row r="625" spans="1:9" hidden="1" x14ac:dyDescent="0.3">
      <c r="A625" t="s">
        <v>663</v>
      </c>
      <c r="B625" t="s">
        <v>37</v>
      </c>
      <c r="D625" t="s">
        <v>9</v>
      </c>
      <c r="F625" t="s">
        <v>10</v>
      </c>
      <c r="G625" s="2">
        <v>13161.02</v>
      </c>
      <c r="H625" t="s">
        <v>35</v>
      </c>
      <c r="I625">
        <v>50</v>
      </c>
    </row>
    <row r="626" spans="1:9" hidden="1" x14ac:dyDescent="0.3">
      <c r="A626" t="s">
        <v>664</v>
      </c>
      <c r="B626" t="s">
        <v>17</v>
      </c>
      <c r="D626" t="s">
        <v>28</v>
      </c>
      <c r="F626" t="s">
        <v>29</v>
      </c>
      <c r="G626" s="2">
        <v>1341.46</v>
      </c>
      <c r="H626" t="s">
        <v>15</v>
      </c>
      <c r="I626">
        <v>24</v>
      </c>
    </row>
    <row r="627" spans="1:9" hidden="1" x14ac:dyDescent="0.3">
      <c r="A627" t="s">
        <v>665</v>
      </c>
      <c r="B627" t="s">
        <v>17</v>
      </c>
      <c r="D627" t="s">
        <v>62</v>
      </c>
      <c r="F627" t="s">
        <v>19</v>
      </c>
      <c r="G627" s="2">
        <v>8478.91</v>
      </c>
      <c r="H627" t="s">
        <v>15</v>
      </c>
      <c r="I627">
        <v>40</v>
      </c>
    </row>
    <row r="628" spans="1:9" x14ac:dyDescent="0.3">
      <c r="A628" t="s">
        <v>666</v>
      </c>
      <c r="B628" t="s">
        <v>17</v>
      </c>
      <c r="D628" t="s">
        <v>40</v>
      </c>
      <c r="F628" t="s">
        <v>41</v>
      </c>
      <c r="G628" s="2">
        <v>5555.69</v>
      </c>
      <c r="H628" t="s">
        <v>47</v>
      </c>
      <c r="I628">
        <v>50</v>
      </c>
    </row>
    <row r="629" spans="1:9" hidden="1" x14ac:dyDescent="0.3">
      <c r="A629" t="s">
        <v>667</v>
      </c>
      <c r="B629" t="s">
        <v>22</v>
      </c>
      <c r="D629" t="s">
        <v>13</v>
      </c>
      <c r="F629" t="s">
        <v>14</v>
      </c>
      <c r="G629" s="2">
        <v>11419.21</v>
      </c>
      <c r="H629" t="s">
        <v>11</v>
      </c>
      <c r="I629">
        <v>1</v>
      </c>
    </row>
    <row r="630" spans="1:9" hidden="1" x14ac:dyDescent="0.3">
      <c r="A630" t="s">
        <v>668</v>
      </c>
      <c r="B630" t="s">
        <v>22</v>
      </c>
      <c r="D630" t="s">
        <v>18</v>
      </c>
      <c r="F630" t="s">
        <v>19</v>
      </c>
      <c r="G630" s="2">
        <v>8146.1</v>
      </c>
      <c r="H630" t="s">
        <v>20</v>
      </c>
      <c r="I630">
        <v>45</v>
      </c>
    </row>
    <row r="631" spans="1:9" hidden="1" x14ac:dyDescent="0.3">
      <c r="A631" t="s">
        <v>669</v>
      </c>
      <c r="B631" t="s">
        <v>37</v>
      </c>
      <c r="D631" t="s">
        <v>28</v>
      </c>
      <c r="F631" t="s">
        <v>29</v>
      </c>
      <c r="G631" s="2">
        <v>71.86</v>
      </c>
      <c r="H631" t="s">
        <v>20</v>
      </c>
      <c r="I631">
        <v>55</v>
      </c>
    </row>
    <row r="632" spans="1:9" hidden="1" x14ac:dyDescent="0.3">
      <c r="A632" t="s">
        <v>670</v>
      </c>
      <c r="B632" t="s">
        <v>52</v>
      </c>
      <c r="D632" t="s">
        <v>9</v>
      </c>
      <c r="F632" t="s">
        <v>10</v>
      </c>
      <c r="G632" s="2">
        <v>3117.66</v>
      </c>
      <c r="H632" t="s">
        <v>47</v>
      </c>
      <c r="I632">
        <v>27</v>
      </c>
    </row>
    <row r="633" spans="1:9" hidden="1" x14ac:dyDescent="0.3">
      <c r="A633" t="s">
        <v>671</v>
      </c>
      <c r="B633" t="s">
        <v>22</v>
      </c>
      <c r="D633" t="s">
        <v>99</v>
      </c>
      <c r="F633" t="s">
        <v>29</v>
      </c>
      <c r="G633" s="2">
        <v>14589.76</v>
      </c>
      <c r="H633" t="s">
        <v>11</v>
      </c>
      <c r="I633">
        <v>0</v>
      </c>
    </row>
    <row r="634" spans="1:9" hidden="1" x14ac:dyDescent="0.3">
      <c r="A634" t="s">
        <v>672</v>
      </c>
      <c r="B634" t="s">
        <v>27</v>
      </c>
      <c r="D634" t="s">
        <v>18</v>
      </c>
      <c r="F634" t="s">
        <v>19</v>
      </c>
      <c r="G634" s="2">
        <v>13464.45</v>
      </c>
      <c r="H634" t="s">
        <v>15</v>
      </c>
      <c r="I634">
        <v>45</v>
      </c>
    </row>
    <row r="635" spans="1:9" x14ac:dyDescent="0.3">
      <c r="A635" t="s">
        <v>673</v>
      </c>
      <c r="B635" t="s">
        <v>31</v>
      </c>
      <c r="D635" t="s">
        <v>40</v>
      </c>
      <c r="F635" t="s">
        <v>41</v>
      </c>
      <c r="G635" s="2">
        <v>14619.59</v>
      </c>
      <c r="H635" t="s">
        <v>11</v>
      </c>
      <c r="I635">
        <v>0</v>
      </c>
    </row>
    <row r="636" spans="1:9" hidden="1" x14ac:dyDescent="0.3">
      <c r="A636" t="s">
        <v>674</v>
      </c>
      <c r="B636" t="s">
        <v>17</v>
      </c>
      <c r="D636" t="s">
        <v>9</v>
      </c>
      <c r="F636" t="s">
        <v>10</v>
      </c>
      <c r="G636" s="2">
        <v>8898.84</v>
      </c>
      <c r="H636" t="s">
        <v>11</v>
      </c>
      <c r="I636">
        <v>0</v>
      </c>
    </row>
    <row r="637" spans="1:9" hidden="1" x14ac:dyDescent="0.3">
      <c r="A637" t="s">
        <v>675</v>
      </c>
      <c r="B637" t="s">
        <v>31</v>
      </c>
      <c r="D637" t="s">
        <v>62</v>
      </c>
      <c r="F637" t="s">
        <v>19</v>
      </c>
      <c r="G637" s="2">
        <v>3951.81</v>
      </c>
      <c r="H637" t="s">
        <v>15</v>
      </c>
      <c r="I637">
        <v>52</v>
      </c>
    </row>
    <row r="638" spans="1:9" hidden="1" x14ac:dyDescent="0.3">
      <c r="A638" t="s">
        <v>676</v>
      </c>
      <c r="B638" t="s">
        <v>44</v>
      </c>
      <c r="D638" t="s">
        <v>28</v>
      </c>
      <c r="F638" t="s">
        <v>29</v>
      </c>
      <c r="G638" s="2">
        <v>4804.96</v>
      </c>
      <c r="H638" t="s">
        <v>11</v>
      </c>
      <c r="I638">
        <v>0</v>
      </c>
    </row>
    <row r="639" spans="1:9" hidden="1" x14ac:dyDescent="0.3">
      <c r="A639" t="s">
        <v>677</v>
      </c>
      <c r="B639" t="s">
        <v>27</v>
      </c>
      <c r="D639" t="s">
        <v>32</v>
      </c>
      <c r="F639" t="s">
        <v>33</v>
      </c>
      <c r="G639" s="2">
        <v>1679.14</v>
      </c>
      <c r="H639" t="s">
        <v>11</v>
      </c>
      <c r="I639">
        <v>8</v>
      </c>
    </row>
    <row r="640" spans="1:9" hidden="1" x14ac:dyDescent="0.3">
      <c r="A640" t="s">
        <v>678</v>
      </c>
      <c r="B640" t="s">
        <v>17</v>
      </c>
      <c r="D640" t="s">
        <v>56</v>
      </c>
      <c r="F640" t="s">
        <v>57</v>
      </c>
      <c r="G640" s="2">
        <v>1855.01</v>
      </c>
      <c r="H640" t="s">
        <v>15</v>
      </c>
      <c r="I640">
        <v>50</v>
      </c>
    </row>
    <row r="641" spans="1:9" x14ac:dyDescent="0.3">
      <c r="A641" t="s">
        <v>679</v>
      </c>
      <c r="B641" t="s">
        <v>44</v>
      </c>
      <c r="D641" t="s">
        <v>40</v>
      </c>
      <c r="F641" t="s">
        <v>41</v>
      </c>
      <c r="G641" s="2">
        <v>4659.2</v>
      </c>
      <c r="H641" t="s">
        <v>11</v>
      </c>
      <c r="I641">
        <v>0</v>
      </c>
    </row>
    <row r="642" spans="1:9" hidden="1" x14ac:dyDescent="0.3">
      <c r="A642" t="s">
        <v>680</v>
      </c>
      <c r="B642" t="s">
        <v>17</v>
      </c>
      <c r="D642" t="s">
        <v>62</v>
      </c>
      <c r="F642" t="s">
        <v>19</v>
      </c>
      <c r="G642" s="2">
        <v>12404.48</v>
      </c>
      <c r="H642" t="s">
        <v>20</v>
      </c>
      <c r="I642">
        <v>3</v>
      </c>
    </row>
    <row r="643" spans="1:9" hidden="1" x14ac:dyDescent="0.3">
      <c r="A643" t="s">
        <v>681</v>
      </c>
      <c r="B643" t="s">
        <v>31</v>
      </c>
      <c r="D643" t="s">
        <v>28</v>
      </c>
      <c r="F643" t="s">
        <v>29</v>
      </c>
      <c r="G643" s="2">
        <v>2267.44</v>
      </c>
      <c r="H643" t="s">
        <v>20</v>
      </c>
      <c r="I643">
        <v>23</v>
      </c>
    </row>
    <row r="644" spans="1:9" hidden="1" x14ac:dyDescent="0.3">
      <c r="A644" t="s">
        <v>682</v>
      </c>
      <c r="B644" t="s">
        <v>44</v>
      </c>
      <c r="D644" t="s">
        <v>13</v>
      </c>
      <c r="F644" t="s">
        <v>14</v>
      </c>
      <c r="G644" s="2">
        <v>781.81</v>
      </c>
      <c r="H644" t="s">
        <v>15</v>
      </c>
      <c r="I644">
        <v>53</v>
      </c>
    </row>
    <row r="645" spans="1:9" hidden="1" x14ac:dyDescent="0.3">
      <c r="A645" t="s">
        <v>683</v>
      </c>
      <c r="B645" t="s">
        <v>46</v>
      </c>
      <c r="D645" t="s">
        <v>99</v>
      </c>
      <c r="F645" t="s">
        <v>29</v>
      </c>
      <c r="G645" s="2">
        <v>14283.84</v>
      </c>
      <c r="H645" t="s">
        <v>35</v>
      </c>
      <c r="I645">
        <v>36</v>
      </c>
    </row>
    <row r="646" spans="1:9" hidden="1" x14ac:dyDescent="0.3">
      <c r="A646" t="s">
        <v>684</v>
      </c>
      <c r="B646" t="s">
        <v>8</v>
      </c>
      <c r="D646" t="s">
        <v>18</v>
      </c>
      <c r="F646" t="s">
        <v>19</v>
      </c>
      <c r="G646" s="2">
        <v>1466.14</v>
      </c>
      <c r="H646" t="s">
        <v>11</v>
      </c>
      <c r="I646">
        <v>0</v>
      </c>
    </row>
    <row r="647" spans="1:9" hidden="1" x14ac:dyDescent="0.3">
      <c r="A647" t="s">
        <v>685</v>
      </c>
      <c r="B647" t="s">
        <v>44</v>
      </c>
      <c r="D647" t="s">
        <v>99</v>
      </c>
      <c r="F647" t="s">
        <v>29</v>
      </c>
      <c r="G647" s="2">
        <v>971.95</v>
      </c>
      <c r="H647" t="s">
        <v>35</v>
      </c>
      <c r="I647">
        <v>15</v>
      </c>
    </row>
    <row r="648" spans="1:9" hidden="1" x14ac:dyDescent="0.3">
      <c r="A648" t="s">
        <v>686</v>
      </c>
      <c r="B648" t="s">
        <v>8</v>
      </c>
      <c r="D648" t="s">
        <v>18</v>
      </c>
      <c r="F648" t="s">
        <v>19</v>
      </c>
      <c r="G648" s="2">
        <v>12363.92</v>
      </c>
      <c r="H648" t="s">
        <v>15</v>
      </c>
      <c r="I648">
        <v>41</v>
      </c>
    </row>
    <row r="649" spans="1:9" hidden="1" x14ac:dyDescent="0.3">
      <c r="A649" t="s">
        <v>687</v>
      </c>
      <c r="B649" t="s">
        <v>22</v>
      </c>
      <c r="D649" t="s">
        <v>32</v>
      </c>
      <c r="F649" t="s">
        <v>33</v>
      </c>
      <c r="G649" s="2">
        <v>8812.48</v>
      </c>
      <c r="H649" t="s">
        <v>47</v>
      </c>
      <c r="I649">
        <v>5</v>
      </c>
    </row>
    <row r="650" spans="1:9" hidden="1" x14ac:dyDescent="0.3">
      <c r="A650" t="s">
        <v>688</v>
      </c>
      <c r="B650" t="s">
        <v>44</v>
      </c>
      <c r="D650" t="s">
        <v>9</v>
      </c>
      <c r="F650" t="s">
        <v>10</v>
      </c>
      <c r="G650" s="2">
        <v>3006.37</v>
      </c>
      <c r="H650" t="s">
        <v>20</v>
      </c>
      <c r="I650">
        <v>52</v>
      </c>
    </row>
    <row r="651" spans="1:9" hidden="1" x14ac:dyDescent="0.3">
      <c r="A651" t="s">
        <v>689</v>
      </c>
      <c r="B651" t="s">
        <v>8</v>
      </c>
      <c r="D651" t="s">
        <v>9</v>
      </c>
      <c r="F651" t="s">
        <v>10</v>
      </c>
      <c r="G651" s="2">
        <v>13580.92</v>
      </c>
      <c r="H651" t="s">
        <v>35</v>
      </c>
      <c r="I651">
        <v>22</v>
      </c>
    </row>
    <row r="652" spans="1:9" hidden="1" x14ac:dyDescent="0.3">
      <c r="A652" t="s">
        <v>690</v>
      </c>
      <c r="B652" t="s">
        <v>31</v>
      </c>
      <c r="D652" t="s">
        <v>99</v>
      </c>
      <c r="F652" t="s">
        <v>29</v>
      </c>
      <c r="G652" s="2">
        <v>14137.1</v>
      </c>
      <c r="H652" t="s">
        <v>11</v>
      </c>
      <c r="I652">
        <v>15</v>
      </c>
    </row>
    <row r="653" spans="1:9" x14ac:dyDescent="0.3">
      <c r="A653" t="s">
        <v>691</v>
      </c>
      <c r="B653" t="s">
        <v>27</v>
      </c>
      <c r="D653" t="s">
        <v>40</v>
      </c>
      <c r="F653" t="s">
        <v>41</v>
      </c>
      <c r="G653" s="2">
        <v>490.76</v>
      </c>
      <c r="H653" t="s">
        <v>20</v>
      </c>
      <c r="I653">
        <v>12</v>
      </c>
    </row>
    <row r="654" spans="1:9" hidden="1" x14ac:dyDescent="0.3">
      <c r="A654" t="s">
        <v>692</v>
      </c>
      <c r="B654" t="s">
        <v>22</v>
      </c>
      <c r="D654" t="s">
        <v>18</v>
      </c>
      <c r="F654" t="s">
        <v>19</v>
      </c>
      <c r="G654" s="2">
        <v>13629.15</v>
      </c>
      <c r="H654" t="s">
        <v>11</v>
      </c>
      <c r="I654">
        <v>0</v>
      </c>
    </row>
    <row r="655" spans="1:9" hidden="1" x14ac:dyDescent="0.3">
      <c r="A655" t="s">
        <v>693</v>
      </c>
      <c r="B655" t="s">
        <v>31</v>
      </c>
      <c r="D655" t="s">
        <v>32</v>
      </c>
      <c r="F655" t="s">
        <v>33</v>
      </c>
      <c r="G655" s="2">
        <v>9306.69</v>
      </c>
      <c r="H655" t="s">
        <v>11</v>
      </c>
      <c r="I655">
        <v>5</v>
      </c>
    </row>
    <row r="656" spans="1:9" hidden="1" x14ac:dyDescent="0.3">
      <c r="A656" t="s">
        <v>694</v>
      </c>
      <c r="B656" t="s">
        <v>31</v>
      </c>
      <c r="D656" t="s">
        <v>13</v>
      </c>
      <c r="F656" t="s">
        <v>14</v>
      </c>
      <c r="G656" s="2">
        <v>7211.51</v>
      </c>
      <c r="H656" t="s">
        <v>11</v>
      </c>
      <c r="I656">
        <v>0</v>
      </c>
    </row>
    <row r="657" spans="1:9" hidden="1" x14ac:dyDescent="0.3">
      <c r="A657" t="s">
        <v>695</v>
      </c>
      <c r="B657" t="s">
        <v>46</v>
      </c>
      <c r="D657" t="s">
        <v>18</v>
      </c>
      <c r="F657" t="s">
        <v>19</v>
      </c>
      <c r="G657" s="2">
        <v>9657.66</v>
      </c>
      <c r="H657" t="s">
        <v>35</v>
      </c>
      <c r="I657">
        <v>16</v>
      </c>
    </row>
    <row r="658" spans="1:9" hidden="1" x14ac:dyDescent="0.3">
      <c r="A658" t="s">
        <v>696</v>
      </c>
      <c r="B658" t="s">
        <v>52</v>
      </c>
      <c r="D658" t="s">
        <v>99</v>
      </c>
      <c r="F658" t="s">
        <v>29</v>
      </c>
      <c r="G658" s="2">
        <v>14841.58</v>
      </c>
      <c r="H658" t="s">
        <v>35</v>
      </c>
      <c r="I658">
        <v>23</v>
      </c>
    </row>
    <row r="659" spans="1:9" hidden="1" x14ac:dyDescent="0.3">
      <c r="A659" t="s">
        <v>697</v>
      </c>
      <c r="B659" t="s">
        <v>46</v>
      </c>
      <c r="D659" t="s">
        <v>13</v>
      </c>
      <c r="F659" t="s">
        <v>14</v>
      </c>
      <c r="G659" s="2">
        <v>11732.45</v>
      </c>
      <c r="H659" t="s">
        <v>15</v>
      </c>
      <c r="I659">
        <v>37</v>
      </c>
    </row>
    <row r="660" spans="1:9" hidden="1" x14ac:dyDescent="0.3">
      <c r="A660" t="s">
        <v>698</v>
      </c>
      <c r="B660" t="s">
        <v>22</v>
      </c>
      <c r="D660" t="s">
        <v>28</v>
      </c>
      <c r="F660" t="s">
        <v>29</v>
      </c>
      <c r="G660" s="2">
        <v>5856.3</v>
      </c>
      <c r="H660" t="s">
        <v>11</v>
      </c>
      <c r="I660">
        <v>0</v>
      </c>
    </row>
    <row r="661" spans="1:9" hidden="1" x14ac:dyDescent="0.3">
      <c r="A661" t="s">
        <v>699</v>
      </c>
      <c r="B661" t="s">
        <v>27</v>
      </c>
      <c r="D661" t="s">
        <v>62</v>
      </c>
      <c r="F661" t="s">
        <v>19</v>
      </c>
      <c r="G661" s="2">
        <v>925.94</v>
      </c>
      <c r="H661" t="s">
        <v>47</v>
      </c>
      <c r="I661">
        <v>34</v>
      </c>
    </row>
    <row r="662" spans="1:9" hidden="1" x14ac:dyDescent="0.3">
      <c r="A662" t="s">
        <v>700</v>
      </c>
      <c r="B662" t="s">
        <v>17</v>
      </c>
      <c r="D662" t="s">
        <v>32</v>
      </c>
      <c r="F662" t="s">
        <v>33</v>
      </c>
      <c r="G662" s="2">
        <v>14994.11</v>
      </c>
      <c r="H662" t="s">
        <v>47</v>
      </c>
      <c r="I662">
        <v>7</v>
      </c>
    </row>
    <row r="663" spans="1:9" hidden="1" x14ac:dyDescent="0.3">
      <c r="A663" t="s">
        <v>701</v>
      </c>
      <c r="B663" t="s">
        <v>22</v>
      </c>
      <c r="D663" t="s">
        <v>18</v>
      </c>
      <c r="F663" t="s">
        <v>19</v>
      </c>
      <c r="G663" s="2">
        <v>4034.58</v>
      </c>
      <c r="H663" t="s">
        <v>35</v>
      </c>
      <c r="I663">
        <v>59</v>
      </c>
    </row>
    <row r="664" spans="1:9" hidden="1" x14ac:dyDescent="0.3">
      <c r="A664" t="s">
        <v>702</v>
      </c>
      <c r="B664" t="s">
        <v>27</v>
      </c>
      <c r="D664" t="s">
        <v>18</v>
      </c>
      <c r="F664" t="s">
        <v>19</v>
      </c>
      <c r="G664" s="2">
        <v>8656.6</v>
      </c>
      <c r="H664" t="s">
        <v>47</v>
      </c>
      <c r="I664">
        <v>25</v>
      </c>
    </row>
    <row r="665" spans="1:9" hidden="1" x14ac:dyDescent="0.3">
      <c r="A665" t="s">
        <v>703</v>
      </c>
      <c r="B665" t="s">
        <v>27</v>
      </c>
      <c r="D665" t="s">
        <v>24</v>
      </c>
      <c r="F665" t="s">
        <v>25</v>
      </c>
      <c r="G665" s="2">
        <v>2682.7</v>
      </c>
      <c r="H665" t="s">
        <v>20</v>
      </c>
      <c r="I665">
        <v>52</v>
      </c>
    </row>
    <row r="666" spans="1:9" hidden="1" x14ac:dyDescent="0.3">
      <c r="A666" t="s">
        <v>704</v>
      </c>
      <c r="B666" t="s">
        <v>54</v>
      </c>
      <c r="D666" t="s">
        <v>32</v>
      </c>
      <c r="F666" t="s">
        <v>33</v>
      </c>
      <c r="G666" s="2">
        <v>471.69</v>
      </c>
      <c r="H666" t="s">
        <v>20</v>
      </c>
      <c r="I666">
        <v>37</v>
      </c>
    </row>
    <row r="667" spans="1:9" hidden="1" x14ac:dyDescent="0.3">
      <c r="A667" t="s">
        <v>705</v>
      </c>
      <c r="B667" t="s">
        <v>46</v>
      </c>
      <c r="D667" t="s">
        <v>24</v>
      </c>
      <c r="F667" t="s">
        <v>25</v>
      </c>
      <c r="G667" s="2">
        <v>8468.48</v>
      </c>
      <c r="H667" t="s">
        <v>11</v>
      </c>
      <c r="I667">
        <v>13</v>
      </c>
    </row>
    <row r="668" spans="1:9" hidden="1" x14ac:dyDescent="0.3">
      <c r="A668" t="s">
        <v>706</v>
      </c>
      <c r="B668" t="s">
        <v>54</v>
      </c>
      <c r="D668" t="s">
        <v>62</v>
      </c>
      <c r="F668" t="s">
        <v>19</v>
      </c>
      <c r="G668" s="2">
        <v>2674.57</v>
      </c>
      <c r="H668" t="s">
        <v>11</v>
      </c>
      <c r="I668">
        <v>0</v>
      </c>
    </row>
    <row r="669" spans="1:9" hidden="1" x14ac:dyDescent="0.3">
      <c r="A669" t="s">
        <v>707</v>
      </c>
      <c r="B669" t="s">
        <v>54</v>
      </c>
      <c r="D669" t="s">
        <v>18</v>
      </c>
      <c r="F669" t="s">
        <v>19</v>
      </c>
      <c r="G669" s="2">
        <v>347.92</v>
      </c>
      <c r="H669" t="s">
        <v>15</v>
      </c>
      <c r="I669">
        <v>22</v>
      </c>
    </row>
    <row r="670" spans="1:9" hidden="1" x14ac:dyDescent="0.3">
      <c r="A670" t="s">
        <v>708</v>
      </c>
      <c r="B670" t="s">
        <v>27</v>
      </c>
      <c r="D670" t="s">
        <v>18</v>
      </c>
      <c r="F670" t="s">
        <v>19</v>
      </c>
      <c r="G670" s="2">
        <v>12106.36</v>
      </c>
      <c r="H670" t="s">
        <v>15</v>
      </c>
      <c r="I670">
        <v>12</v>
      </c>
    </row>
    <row r="671" spans="1:9" hidden="1" x14ac:dyDescent="0.3">
      <c r="A671" t="s">
        <v>709</v>
      </c>
      <c r="B671" t="s">
        <v>44</v>
      </c>
      <c r="D671" t="s">
        <v>99</v>
      </c>
      <c r="F671" t="s">
        <v>29</v>
      </c>
      <c r="G671" s="2">
        <v>377.6</v>
      </c>
      <c r="H671" t="s">
        <v>20</v>
      </c>
      <c r="I671">
        <v>59</v>
      </c>
    </row>
    <row r="672" spans="1:9" hidden="1" x14ac:dyDescent="0.3">
      <c r="A672" t="s">
        <v>710</v>
      </c>
      <c r="B672" t="s">
        <v>27</v>
      </c>
      <c r="D672" t="s">
        <v>9</v>
      </c>
      <c r="F672" t="s">
        <v>10</v>
      </c>
      <c r="G672" s="2">
        <v>12704.89</v>
      </c>
      <c r="H672" t="s">
        <v>35</v>
      </c>
      <c r="I672">
        <v>5</v>
      </c>
    </row>
    <row r="673" spans="1:9" hidden="1" x14ac:dyDescent="0.3">
      <c r="A673" t="s">
        <v>711</v>
      </c>
      <c r="B673" t="s">
        <v>44</v>
      </c>
      <c r="D673" t="s">
        <v>56</v>
      </c>
      <c r="F673" t="s">
        <v>57</v>
      </c>
      <c r="G673" s="2">
        <v>8810.9500000000007</v>
      </c>
      <c r="H673" t="s">
        <v>15</v>
      </c>
      <c r="I673">
        <v>21</v>
      </c>
    </row>
    <row r="674" spans="1:9" hidden="1" x14ac:dyDescent="0.3">
      <c r="A674" t="s">
        <v>712</v>
      </c>
      <c r="B674" t="s">
        <v>52</v>
      </c>
      <c r="D674" t="s">
        <v>24</v>
      </c>
      <c r="F674" t="s">
        <v>25</v>
      </c>
      <c r="G674" s="2">
        <v>10998.66</v>
      </c>
      <c r="H674" t="s">
        <v>15</v>
      </c>
      <c r="I674">
        <v>41</v>
      </c>
    </row>
    <row r="675" spans="1:9" hidden="1" x14ac:dyDescent="0.3">
      <c r="A675" t="s">
        <v>713</v>
      </c>
      <c r="B675" t="s">
        <v>54</v>
      </c>
      <c r="D675" t="s">
        <v>28</v>
      </c>
      <c r="F675" t="s">
        <v>29</v>
      </c>
      <c r="G675" s="2">
        <v>2654.33</v>
      </c>
      <c r="H675" t="s">
        <v>47</v>
      </c>
      <c r="I675">
        <v>45</v>
      </c>
    </row>
    <row r="676" spans="1:9" hidden="1" x14ac:dyDescent="0.3">
      <c r="A676" t="s">
        <v>714</v>
      </c>
      <c r="B676" t="s">
        <v>31</v>
      </c>
      <c r="D676" t="s">
        <v>28</v>
      </c>
      <c r="F676" t="s">
        <v>29</v>
      </c>
      <c r="G676" s="2">
        <v>3387.4</v>
      </c>
      <c r="H676" t="s">
        <v>20</v>
      </c>
      <c r="I676">
        <v>12</v>
      </c>
    </row>
    <row r="677" spans="1:9" hidden="1" x14ac:dyDescent="0.3">
      <c r="A677" t="s">
        <v>715</v>
      </c>
      <c r="B677" t="s">
        <v>22</v>
      </c>
      <c r="D677" t="s">
        <v>62</v>
      </c>
      <c r="F677" t="s">
        <v>19</v>
      </c>
      <c r="G677" s="2">
        <v>11023.22</v>
      </c>
      <c r="H677" t="s">
        <v>15</v>
      </c>
      <c r="I677">
        <v>12</v>
      </c>
    </row>
    <row r="678" spans="1:9" hidden="1" x14ac:dyDescent="0.3">
      <c r="A678" t="s">
        <v>716</v>
      </c>
      <c r="B678" t="s">
        <v>22</v>
      </c>
      <c r="D678" t="s">
        <v>32</v>
      </c>
      <c r="F678" t="s">
        <v>33</v>
      </c>
      <c r="G678" s="2">
        <v>5904.44</v>
      </c>
      <c r="H678" t="s">
        <v>47</v>
      </c>
      <c r="I678">
        <v>37</v>
      </c>
    </row>
    <row r="679" spans="1:9" hidden="1" x14ac:dyDescent="0.3">
      <c r="A679" t="s">
        <v>717</v>
      </c>
      <c r="B679" t="s">
        <v>17</v>
      </c>
      <c r="D679" t="s">
        <v>24</v>
      </c>
      <c r="F679" t="s">
        <v>25</v>
      </c>
      <c r="G679" s="2">
        <v>9055.7099999999991</v>
      </c>
      <c r="H679" t="s">
        <v>47</v>
      </c>
      <c r="I679">
        <v>40</v>
      </c>
    </row>
    <row r="680" spans="1:9" hidden="1" x14ac:dyDescent="0.3">
      <c r="A680" t="s">
        <v>718</v>
      </c>
      <c r="B680" t="s">
        <v>8</v>
      </c>
      <c r="D680" t="s">
        <v>32</v>
      </c>
      <c r="F680" t="s">
        <v>33</v>
      </c>
      <c r="G680" s="2">
        <v>1606.45</v>
      </c>
      <c r="H680" t="s">
        <v>15</v>
      </c>
      <c r="I680">
        <v>22</v>
      </c>
    </row>
    <row r="681" spans="1:9" hidden="1" x14ac:dyDescent="0.3">
      <c r="A681" t="s">
        <v>719</v>
      </c>
      <c r="B681" t="s">
        <v>8</v>
      </c>
      <c r="D681" t="s">
        <v>18</v>
      </c>
      <c r="F681" t="s">
        <v>19</v>
      </c>
      <c r="G681" s="2">
        <v>5234.8100000000004</v>
      </c>
      <c r="H681" t="s">
        <v>15</v>
      </c>
      <c r="I681">
        <v>41</v>
      </c>
    </row>
    <row r="682" spans="1:9" hidden="1" x14ac:dyDescent="0.3">
      <c r="A682" t="s">
        <v>720</v>
      </c>
      <c r="B682" t="s">
        <v>27</v>
      </c>
      <c r="D682" t="s">
        <v>28</v>
      </c>
      <c r="F682" t="s">
        <v>29</v>
      </c>
      <c r="G682" s="2">
        <v>6727.12</v>
      </c>
      <c r="H682" t="s">
        <v>11</v>
      </c>
      <c r="I682">
        <v>0</v>
      </c>
    </row>
    <row r="683" spans="1:9" hidden="1" x14ac:dyDescent="0.3">
      <c r="A683" t="s">
        <v>721</v>
      </c>
      <c r="B683" t="s">
        <v>31</v>
      </c>
      <c r="D683" t="s">
        <v>62</v>
      </c>
      <c r="F683" t="s">
        <v>19</v>
      </c>
      <c r="G683" s="2">
        <v>11815.95</v>
      </c>
      <c r="H683" t="s">
        <v>35</v>
      </c>
      <c r="I683">
        <v>4</v>
      </c>
    </row>
    <row r="684" spans="1:9" x14ac:dyDescent="0.3">
      <c r="A684" t="s">
        <v>722</v>
      </c>
      <c r="B684" t="s">
        <v>31</v>
      </c>
      <c r="D684" t="s">
        <v>40</v>
      </c>
      <c r="F684" t="s">
        <v>41</v>
      </c>
      <c r="G684" s="2">
        <v>11002.14</v>
      </c>
      <c r="H684" t="s">
        <v>47</v>
      </c>
      <c r="I684">
        <v>57</v>
      </c>
    </row>
    <row r="685" spans="1:9" x14ac:dyDescent="0.3">
      <c r="A685" t="s">
        <v>723</v>
      </c>
      <c r="B685" t="s">
        <v>8</v>
      </c>
      <c r="D685" t="s">
        <v>40</v>
      </c>
      <c r="F685" t="s">
        <v>41</v>
      </c>
      <c r="G685" s="2">
        <v>13232.47</v>
      </c>
      <c r="H685" t="s">
        <v>15</v>
      </c>
      <c r="I685">
        <v>25</v>
      </c>
    </row>
    <row r="686" spans="1:9" x14ac:dyDescent="0.3">
      <c r="A686" t="s">
        <v>724</v>
      </c>
      <c r="B686" t="s">
        <v>17</v>
      </c>
      <c r="D686" t="s">
        <v>40</v>
      </c>
      <c r="F686" t="s">
        <v>41</v>
      </c>
      <c r="G686" s="2">
        <v>11841.51</v>
      </c>
      <c r="H686" t="s">
        <v>20</v>
      </c>
      <c r="I686">
        <v>49</v>
      </c>
    </row>
    <row r="687" spans="1:9" hidden="1" x14ac:dyDescent="0.3">
      <c r="A687" t="s">
        <v>725</v>
      </c>
      <c r="B687" t="s">
        <v>37</v>
      </c>
      <c r="D687" t="s">
        <v>24</v>
      </c>
      <c r="F687" t="s">
        <v>25</v>
      </c>
      <c r="G687" s="2">
        <v>6796.75</v>
      </c>
      <c r="H687" t="s">
        <v>35</v>
      </c>
      <c r="I687">
        <v>3</v>
      </c>
    </row>
    <row r="688" spans="1:9" hidden="1" x14ac:dyDescent="0.3">
      <c r="A688" t="s">
        <v>726</v>
      </c>
      <c r="B688" t="s">
        <v>27</v>
      </c>
      <c r="D688" t="s">
        <v>99</v>
      </c>
      <c r="F688" t="s">
        <v>29</v>
      </c>
      <c r="G688" s="2">
        <v>4814.82</v>
      </c>
      <c r="H688" t="s">
        <v>47</v>
      </c>
      <c r="I688">
        <v>5</v>
      </c>
    </row>
    <row r="689" spans="1:9" hidden="1" x14ac:dyDescent="0.3">
      <c r="A689" t="s">
        <v>727</v>
      </c>
      <c r="B689" t="s">
        <v>27</v>
      </c>
      <c r="D689" t="s">
        <v>24</v>
      </c>
      <c r="F689" t="s">
        <v>25</v>
      </c>
      <c r="G689" s="2">
        <v>13324.57</v>
      </c>
      <c r="H689" t="s">
        <v>11</v>
      </c>
      <c r="I689">
        <v>0</v>
      </c>
    </row>
    <row r="690" spans="1:9" hidden="1" x14ac:dyDescent="0.3">
      <c r="A690" t="s">
        <v>728</v>
      </c>
      <c r="B690" t="s">
        <v>22</v>
      </c>
      <c r="D690" t="s">
        <v>32</v>
      </c>
      <c r="F690" t="s">
        <v>33</v>
      </c>
      <c r="G690" s="2">
        <v>14779.88</v>
      </c>
      <c r="H690" t="s">
        <v>47</v>
      </c>
      <c r="I690">
        <v>46</v>
      </c>
    </row>
    <row r="691" spans="1:9" hidden="1" x14ac:dyDescent="0.3">
      <c r="A691" t="s">
        <v>729</v>
      </c>
      <c r="B691" t="s">
        <v>44</v>
      </c>
      <c r="D691" t="s">
        <v>56</v>
      </c>
      <c r="F691" t="s">
        <v>57</v>
      </c>
      <c r="G691" s="2">
        <v>14139.51</v>
      </c>
      <c r="H691" t="s">
        <v>11</v>
      </c>
      <c r="I691">
        <v>15</v>
      </c>
    </row>
    <row r="692" spans="1:9" hidden="1" x14ac:dyDescent="0.3">
      <c r="A692" t="s">
        <v>730</v>
      </c>
      <c r="B692" t="s">
        <v>46</v>
      </c>
      <c r="D692" t="s">
        <v>99</v>
      </c>
      <c r="F692" t="s">
        <v>29</v>
      </c>
      <c r="G692" s="2">
        <v>1563.8</v>
      </c>
      <c r="H692" t="s">
        <v>11</v>
      </c>
      <c r="I692">
        <v>4</v>
      </c>
    </row>
    <row r="693" spans="1:9" hidden="1" x14ac:dyDescent="0.3">
      <c r="A693" t="s">
        <v>731</v>
      </c>
      <c r="B693" t="s">
        <v>8</v>
      </c>
      <c r="D693" t="s">
        <v>13</v>
      </c>
      <c r="F693" t="s">
        <v>14</v>
      </c>
      <c r="G693" s="2">
        <v>4015.71</v>
      </c>
      <c r="H693" t="s">
        <v>15</v>
      </c>
      <c r="I693">
        <v>16</v>
      </c>
    </row>
    <row r="694" spans="1:9" hidden="1" x14ac:dyDescent="0.3">
      <c r="A694" t="s">
        <v>732</v>
      </c>
      <c r="B694" t="s">
        <v>44</v>
      </c>
      <c r="D694" t="s">
        <v>99</v>
      </c>
      <c r="F694" t="s">
        <v>29</v>
      </c>
      <c r="G694" s="2">
        <v>5923.89</v>
      </c>
      <c r="H694" t="s">
        <v>15</v>
      </c>
      <c r="I694">
        <v>32</v>
      </c>
    </row>
    <row r="695" spans="1:9" hidden="1" x14ac:dyDescent="0.3">
      <c r="A695" t="s">
        <v>733</v>
      </c>
      <c r="B695" t="s">
        <v>54</v>
      </c>
      <c r="D695" t="s">
        <v>99</v>
      </c>
      <c r="F695" t="s">
        <v>29</v>
      </c>
      <c r="G695" s="2">
        <v>5444.39</v>
      </c>
      <c r="H695" t="s">
        <v>15</v>
      </c>
      <c r="I695">
        <v>19</v>
      </c>
    </row>
    <row r="696" spans="1:9" x14ac:dyDescent="0.3">
      <c r="A696" t="s">
        <v>734</v>
      </c>
      <c r="B696" t="s">
        <v>8</v>
      </c>
      <c r="D696" t="s">
        <v>40</v>
      </c>
      <c r="F696" t="s">
        <v>41</v>
      </c>
      <c r="G696" s="2">
        <v>3035.14</v>
      </c>
      <c r="H696" t="s">
        <v>11</v>
      </c>
      <c r="I696">
        <v>0</v>
      </c>
    </row>
    <row r="697" spans="1:9" x14ac:dyDescent="0.3">
      <c r="A697" t="s">
        <v>735</v>
      </c>
      <c r="B697" t="s">
        <v>52</v>
      </c>
      <c r="D697" t="s">
        <v>40</v>
      </c>
      <c r="F697" t="s">
        <v>41</v>
      </c>
      <c r="G697" s="2">
        <v>12664.35</v>
      </c>
      <c r="H697" t="s">
        <v>15</v>
      </c>
      <c r="I697">
        <v>26</v>
      </c>
    </row>
    <row r="698" spans="1:9" x14ac:dyDescent="0.3">
      <c r="A698" t="s">
        <v>736</v>
      </c>
      <c r="B698" t="s">
        <v>44</v>
      </c>
      <c r="D698" t="s">
        <v>40</v>
      </c>
      <c r="F698" t="s">
        <v>41</v>
      </c>
      <c r="G698" s="2">
        <v>13428.42</v>
      </c>
      <c r="H698" t="s">
        <v>11</v>
      </c>
      <c r="I698">
        <v>11</v>
      </c>
    </row>
    <row r="699" spans="1:9" hidden="1" x14ac:dyDescent="0.3">
      <c r="A699" t="s">
        <v>737</v>
      </c>
      <c r="B699" t="s">
        <v>22</v>
      </c>
      <c r="D699" t="s">
        <v>28</v>
      </c>
      <c r="F699" t="s">
        <v>29</v>
      </c>
      <c r="G699" s="2">
        <v>13288.12</v>
      </c>
      <c r="H699" t="s">
        <v>15</v>
      </c>
      <c r="I699">
        <v>29</v>
      </c>
    </row>
    <row r="700" spans="1:9" hidden="1" x14ac:dyDescent="0.3">
      <c r="A700" t="s">
        <v>738</v>
      </c>
      <c r="B700" t="s">
        <v>54</v>
      </c>
      <c r="D700" t="s">
        <v>62</v>
      </c>
      <c r="F700" t="s">
        <v>19</v>
      </c>
      <c r="G700" s="2">
        <v>6624.12</v>
      </c>
      <c r="H700" t="s">
        <v>11</v>
      </c>
      <c r="I700">
        <v>0</v>
      </c>
    </row>
    <row r="701" spans="1:9" hidden="1" x14ac:dyDescent="0.3">
      <c r="A701" t="s">
        <v>739</v>
      </c>
      <c r="B701" t="s">
        <v>8</v>
      </c>
      <c r="D701" t="s">
        <v>99</v>
      </c>
      <c r="F701" t="s">
        <v>29</v>
      </c>
      <c r="G701" s="2">
        <v>2309.4</v>
      </c>
      <c r="H701" t="s">
        <v>20</v>
      </c>
      <c r="I701">
        <v>7</v>
      </c>
    </row>
    <row r="702" spans="1:9" hidden="1" x14ac:dyDescent="0.3">
      <c r="A702" t="s">
        <v>740</v>
      </c>
      <c r="B702" t="s">
        <v>54</v>
      </c>
      <c r="D702" t="s">
        <v>28</v>
      </c>
      <c r="F702" t="s">
        <v>29</v>
      </c>
      <c r="G702" s="2">
        <v>12132.29</v>
      </c>
      <c r="H702" t="s">
        <v>15</v>
      </c>
      <c r="I702">
        <v>49</v>
      </c>
    </row>
    <row r="703" spans="1:9" hidden="1" x14ac:dyDescent="0.3">
      <c r="A703" t="s">
        <v>741</v>
      </c>
      <c r="B703" t="s">
        <v>46</v>
      </c>
      <c r="D703" t="s">
        <v>18</v>
      </c>
      <c r="F703" t="s">
        <v>19</v>
      </c>
      <c r="G703" s="2">
        <v>8326.35</v>
      </c>
      <c r="H703" t="s">
        <v>35</v>
      </c>
      <c r="I703">
        <v>53</v>
      </c>
    </row>
    <row r="704" spans="1:9" hidden="1" x14ac:dyDescent="0.3">
      <c r="A704" t="s">
        <v>742</v>
      </c>
      <c r="B704" t="s">
        <v>52</v>
      </c>
      <c r="D704" t="s">
        <v>56</v>
      </c>
      <c r="F704" t="s">
        <v>57</v>
      </c>
      <c r="G704" s="2">
        <v>14486.13</v>
      </c>
      <c r="H704" t="s">
        <v>20</v>
      </c>
      <c r="I704">
        <v>60</v>
      </c>
    </row>
    <row r="705" spans="1:9" hidden="1" x14ac:dyDescent="0.3">
      <c r="A705" t="s">
        <v>743</v>
      </c>
      <c r="B705" t="s">
        <v>31</v>
      </c>
      <c r="D705" t="s">
        <v>32</v>
      </c>
      <c r="F705" t="s">
        <v>33</v>
      </c>
      <c r="G705" s="2">
        <v>13230.73</v>
      </c>
      <c r="H705" t="s">
        <v>15</v>
      </c>
      <c r="I705">
        <v>6</v>
      </c>
    </row>
    <row r="706" spans="1:9" hidden="1" x14ac:dyDescent="0.3">
      <c r="A706" t="s">
        <v>744</v>
      </c>
      <c r="B706" t="s">
        <v>54</v>
      </c>
      <c r="D706" t="s">
        <v>99</v>
      </c>
      <c r="F706" t="s">
        <v>29</v>
      </c>
      <c r="G706" s="2">
        <v>7556.42</v>
      </c>
      <c r="H706" t="s">
        <v>47</v>
      </c>
      <c r="I706">
        <v>52</v>
      </c>
    </row>
    <row r="707" spans="1:9" hidden="1" x14ac:dyDescent="0.3">
      <c r="A707" t="s">
        <v>745</v>
      </c>
      <c r="B707" t="s">
        <v>44</v>
      </c>
      <c r="D707" t="s">
        <v>32</v>
      </c>
      <c r="F707" t="s">
        <v>33</v>
      </c>
      <c r="G707" s="2">
        <v>2254.34</v>
      </c>
      <c r="H707" t="s">
        <v>47</v>
      </c>
      <c r="I707">
        <v>29</v>
      </c>
    </row>
    <row r="708" spans="1:9" hidden="1" x14ac:dyDescent="0.3">
      <c r="A708" t="s">
        <v>746</v>
      </c>
      <c r="B708" t="s">
        <v>22</v>
      </c>
      <c r="D708" t="s">
        <v>24</v>
      </c>
      <c r="F708" t="s">
        <v>25</v>
      </c>
      <c r="G708" s="2">
        <v>14583.86</v>
      </c>
      <c r="H708" t="s">
        <v>35</v>
      </c>
      <c r="I708">
        <v>9</v>
      </c>
    </row>
    <row r="709" spans="1:9" hidden="1" x14ac:dyDescent="0.3">
      <c r="A709" t="s">
        <v>747</v>
      </c>
      <c r="B709" t="s">
        <v>44</v>
      </c>
      <c r="D709" t="s">
        <v>56</v>
      </c>
      <c r="F709" t="s">
        <v>57</v>
      </c>
      <c r="G709" s="2">
        <v>1221.6099999999999</v>
      </c>
      <c r="H709" t="s">
        <v>20</v>
      </c>
      <c r="I709">
        <v>13</v>
      </c>
    </row>
    <row r="710" spans="1:9" hidden="1" x14ac:dyDescent="0.3">
      <c r="A710" t="s">
        <v>748</v>
      </c>
      <c r="B710" t="s">
        <v>8</v>
      </c>
      <c r="D710" t="s">
        <v>32</v>
      </c>
      <c r="F710" t="s">
        <v>33</v>
      </c>
      <c r="G710" s="2">
        <v>3905.4</v>
      </c>
      <c r="H710" t="s">
        <v>47</v>
      </c>
      <c r="I710">
        <v>59</v>
      </c>
    </row>
    <row r="711" spans="1:9" hidden="1" x14ac:dyDescent="0.3">
      <c r="A711" t="s">
        <v>749</v>
      </c>
      <c r="B711" t="s">
        <v>37</v>
      </c>
      <c r="D711" t="s">
        <v>9</v>
      </c>
      <c r="F711" t="s">
        <v>10</v>
      </c>
      <c r="G711" s="2">
        <v>5852.08</v>
      </c>
      <c r="H711" t="s">
        <v>15</v>
      </c>
      <c r="I711">
        <v>21</v>
      </c>
    </row>
    <row r="712" spans="1:9" hidden="1" x14ac:dyDescent="0.3">
      <c r="A712" t="s">
        <v>750</v>
      </c>
      <c r="B712" t="s">
        <v>54</v>
      </c>
      <c r="D712" t="s">
        <v>13</v>
      </c>
      <c r="F712" t="s">
        <v>14</v>
      </c>
      <c r="G712" s="2">
        <v>6899.45</v>
      </c>
      <c r="H712" t="s">
        <v>35</v>
      </c>
      <c r="I712">
        <v>51</v>
      </c>
    </row>
    <row r="713" spans="1:9" hidden="1" x14ac:dyDescent="0.3">
      <c r="A713" t="s">
        <v>751</v>
      </c>
      <c r="B713" t="s">
        <v>44</v>
      </c>
      <c r="D713" t="s">
        <v>32</v>
      </c>
      <c r="F713" t="s">
        <v>33</v>
      </c>
      <c r="G713" s="2">
        <v>7862.3</v>
      </c>
      <c r="H713" t="s">
        <v>15</v>
      </c>
      <c r="I713">
        <v>27</v>
      </c>
    </row>
    <row r="714" spans="1:9" hidden="1" x14ac:dyDescent="0.3">
      <c r="A714" t="s">
        <v>752</v>
      </c>
      <c r="B714" t="s">
        <v>8</v>
      </c>
      <c r="D714" t="s">
        <v>24</v>
      </c>
      <c r="F714" t="s">
        <v>25</v>
      </c>
      <c r="G714" s="2">
        <v>8520.58</v>
      </c>
      <c r="H714" t="s">
        <v>20</v>
      </c>
      <c r="I714">
        <v>7</v>
      </c>
    </row>
    <row r="715" spans="1:9" hidden="1" x14ac:dyDescent="0.3">
      <c r="A715" t="s">
        <v>753</v>
      </c>
      <c r="B715" t="s">
        <v>46</v>
      </c>
      <c r="D715" t="s">
        <v>32</v>
      </c>
      <c r="F715" t="s">
        <v>33</v>
      </c>
      <c r="G715" s="2">
        <v>11704.19</v>
      </c>
      <c r="H715" t="s">
        <v>35</v>
      </c>
      <c r="I715">
        <v>56</v>
      </c>
    </row>
    <row r="716" spans="1:9" hidden="1" x14ac:dyDescent="0.3">
      <c r="A716" t="s">
        <v>754</v>
      </c>
      <c r="B716" t="s">
        <v>54</v>
      </c>
      <c r="D716" t="s">
        <v>28</v>
      </c>
      <c r="F716" t="s">
        <v>29</v>
      </c>
      <c r="G716" s="2">
        <v>13174.51</v>
      </c>
      <c r="H716" t="s">
        <v>11</v>
      </c>
      <c r="I716">
        <v>11</v>
      </c>
    </row>
    <row r="717" spans="1:9" hidden="1" x14ac:dyDescent="0.3">
      <c r="A717" t="s">
        <v>755</v>
      </c>
      <c r="B717" t="s">
        <v>54</v>
      </c>
      <c r="D717" t="s">
        <v>32</v>
      </c>
      <c r="F717" t="s">
        <v>33</v>
      </c>
      <c r="G717" s="2">
        <v>7122.05</v>
      </c>
      <c r="H717" t="s">
        <v>11</v>
      </c>
      <c r="I717">
        <v>0</v>
      </c>
    </row>
    <row r="718" spans="1:9" hidden="1" x14ac:dyDescent="0.3">
      <c r="A718" t="s">
        <v>756</v>
      </c>
      <c r="B718" t="s">
        <v>27</v>
      </c>
      <c r="D718" t="s">
        <v>32</v>
      </c>
      <c r="F718" t="s">
        <v>33</v>
      </c>
      <c r="G718" s="2">
        <v>10228.15</v>
      </c>
      <c r="H718" t="s">
        <v>15</v>
      </c>
      <c r="I718">
        <v>26</v>
      </c>
    </row>
    <row r="719" spans="1:9" hidden="1" x14ac:dyDescent="0.3">
      <c r="A719" t="s">
        <v>757</v>
      </c>
      <c r="B719" t="s">
        <v>27</v>
      </c>
      <c r="D719" t="s">
        <v>18</v>
      </c>
      <c r="F719" t="s">
        <v>19</v>
      </c>
      <c r="G719" s="2">
        <v>786.9</v>
      </c>
      <c r="H719" t="s">
        <v>15</v>
      </c>
      <c r="I719">
        <v>18</v>
      </c>
    </row>
    <row r="720" spans="1:9" hidden="1" x14ac:dyDescent="0.3">
      <c r="A720" t="s">
        <v>758</v>
      </c>
      <c r="B720" t="s">
        <v>37</v>
      </c>
      <c r="D720" t="s">
        <v>99</v>
      </c>
      <c r="F720" t="s">
        <v>29</v>
      </c>
      <c r="G720" s="2">
        <v>5101.1000000000004</v>
      </c>
      <c r="H720" t="s">
        <v>35</v>
      </c>
      <c r="I720">
        <v>20</v>
      </c>
    </row>
    <row r="721" spans="1:9" x14ac:dyDescent="0.3">
      <c r="A721" t="s">
        <v>759</v>
      </c>
      <c r="B721" t="s">
        <v>17</v>
      </c>
      <c r="D721" t="s">
        <v>40</v>
      </c>
      <c r="F721" t="s">
        <v>41</v>
      </c>
      <c r="G721" s="2">
        <v>12880.61</v>
      </c>
      <c r="H721" t="s">
        <v>20</v>
      </c>
      <c r="I721">
        <v>56</v>
      </c>
    </row>
    <row r="722" spans="1:9" hidden="1" x14ac:dyDescent="0.3">
      <c r="A722" t="s">
        <v>760</v>
      </c>
      <c r="B722" t="s">
        <v>27</v>
      </c>
      <c r="D722" t="s">
        <v>24</v>
      </c>
      <c r="F722" t="s">
        <v>25</v>
      </c>
      <c r="G722" s="2">
        <v>4542.18</v>
      </c>
      <c r="H722" t="s">
        <v>35</v>
      </c>
      <c r="I722">
        <v>50</v>
      </c>
    </row>
    <row r="723" spans="1:9" hidden="1" x14ac:dyDescent="0.3">
      <c r="A723" t="s">
        <v>761</v>
      </c>
      <c r="B723" t="s">
        <v>17</v>
      </c>
      <c r="D723" t="s">
        <v>62</v>
      </c>
      <c r="F723" t="s">
        <v>19</v>
      </c>
      <c r="G723" s="2">
        <v>10945.55</v>
      </c>
      <c r="H723" t="s">
        <v>20</v>
      </c>
      <c r="I723">
        <v>6</v>
      </c>
    </row>
    <row r="724" spans="1:9" x14ac:dyDescent="0.3">
      <c r="A724" t="s">
        <v>762</v>
      </c>
      <c r="B724" t="s">
        <v>52</v>
      </c>
      <c r="D724" t="s">
        <v>40</v>
      </c>
      <c r="F724" t="s">
        <v>41</v>
      </c>
      <c r="G724" s="2">
        <v>3210.29</v>
      </c>
      <c r="H724" t="s">
        <v>35</v>
      </c>
      <c r="I724">
        <v>48</v>
      </c>
    </row>
    <row r="725" spans="1:9" hidden="1" x14ac:dyDescent="0.3">
      <c r="A725" t="s">
        <v>763</v>
      </c>
      <c r="B725" t="s">
        <v>44</v>
      </c>
      <c r="D725" t="s">
        <v>13</v>
      </c>
      <c r="F725" t="s">
        <v>14</v>
      </c>
      <c r="G725" s="2">
        <v>13014.48</v>
      </c>
      <c r="H725" t="s">
        <v>35</v>
      </c>
      <c r="I725">
        <v>33</v>
      </c>
    </row>
    <row r="726" spans="1:9" hidden="1" x14ac:dyDescent="0.3">
      <c r="A726" t="s">
        <v>764</v>
      </c>
      <c r="B726" t="s">
        <v>46</v>
      </c>
      <c r="D726" t="s">
        <v>9</v>
      </c>
      <c r="F726" t="s">
        <v>10</v>
      </c>
      <c r="G726" s="2">
        <v>4701.29</v>
      </c>
      <c r="H726" t="s">
        <v>15</v>
      </c>
      <c r="I726">
        <v>9</v>
      </c>
    </row>
    <row r="727" spans="1:9" hidden="1" x14ac:dyDescent="0.3">
      <c r="A727" t="s">
        <v>765</v>
      </c>
      <c r="B727" t="s">
        <v>22</v>
      </c>
      <c r="D727" t="s">
        <v>32</v>
      </c>
      <c r="F727" t="s">
        <v>33</v>
      </c>
      <c r="G727" s="2">
        <v>482.77</v>
      </c>
      <c r="H727" t="s">
        <v>11</v>
      </c>
      <c r="I727">
        <v>0</v>
      </c>
    </row>
    <row r="728" spans="1:9" hidden="1" x14ac:dyDescent="0.3">
      <c r="A728" t="s">
        <v>766</v>
      </c>
      <c r="B728" t="s">
        <v>37</v>
      </c>
      <c r="D728" t="s">
        <v>18</v>
      </c>
      <c r="F728" t="s">
        <v>19</v>
      </c>
      <c r="G728" s="2">
        <v>544.41</v>
      </c>
      <c r="H728" t="s">
        <v>11</v>
      </c>
      <c r="I728">
        <v>0</v>
      </c>
    </row>
    <row r="729" spans="1:9" hidden="1" x14ac:dyDescent="0.3">
      <c r="A729" t="s">
        <v>767</v>
      </c>
      <c r="B729" t="s">
        <v>8</v>
      </c>
      <c r="D729" t="s">
        <v>28</v>
      </c>
      <c r="F729" t="s">
        <v>29</v>
      </c>
      <c r="G729" s="2">
        <v>12361.42</v>
      </c>
      <c r="H729" t="s">
        <v>15</v>
      </c>
      <c r="I729">
        <v>41</v>
      </c>
    </row>
    <row r="730" spans="1:9" hidden="1" x14ac:dyDescent="0.3">
      <c r="A730" t="s">
        <v>768</v>
      </c>
      <c r="B730" t="s">
        <v>44</v>
      </c>
      <c r="D730" t="s">
        <v>99</v>
      </c>
      <c r="F730" t="s">
        <v>29</v>
      </c>
      <c r="G730" s="2">
        <v>3666.97</v>
      </c>
      <c r="H730" t="s">
        <v>15</v>
      </c>
      <c r="I730">
        <v>29</v>
      </c>
    </row>
    <row r="731" spans="1:9" x14ac:dyDescent="0.3">
      <c r="A731" t="s">
        <v>769</v>
      </c>
      <c r="B731" t="s">
        <v>37</v>
      </c>
      <c r="D731" t="s">
        <v>40</v>
      </c>
      <c r="F731" t="s">
        <v>41</v>
      </c>
      <c r="G731" s="2">
        <v>8823.86</v>
      </c>
      <c r="H731" t="s">
        <v>15</v>
      </c>
      <c r="I731">
        <v>11</v>
      </c>
    </row>
    <row r="732" spans="1:9" hidden="1" x14ac:dyDescent="0.3">
      <c r="A732" t="s">
        <v>770</v>
      </c>
      <c r="B732" t="s">
        <v>54</v>
      </c>
      <c r="D732" t="s">
        <v>9</v>
      </c>
      <c r="F732" t="s">
        <v>10</v>
      </c>
      <c r="G732" s="2">
        <v>4311.79</v>
      </c>
      <c r="H732" t="s">
        <v>15</v>
      </c>
      <c r="I732">
        <v>11</v>
      </c>
    </row>
    <row r="733" spans="1:9" hidden="1" x14ac:dyDescent="0.3">
      <c r="A733" t="s">
        <v>771</v>
      </c>
      <c r="B733" t="s">
        <v>17</v>
      </c>
      <c r="D733" t="s">
        <v>18</v>
      </c>
      <c r="F733" t="s">
        <v>19</v>
      </c>
      <c r="G733" s="2">
        <v>12863.81</v>
      </c>
      <c r="H733" t="s">
        <v>20</v>
      </c>
      <c r="I733">
        <v>44</v>
      </c>
    </row>
    <row r="734" spans="1:9" hidden="1" x14ac:dyDescent="0.3">
      <c r="A734" t="s">
        <v>772</v>
      </c>
      <c r="B734" t="s">
        <v>22</v>
      </c>
      <c r="D734" t="s">
        <v>62</v>
      </c>
      <c r="F734" t="s">
        <v>19</v>
      </c>
      <c r="G734" s="2">
        <v>9791.23</v>
      </c>
      <c r="H734" t="s">
        <v>15</v>
      </c>
      <c r="I734">
        <v>56</v>
      </c>
    </row>
    <row r="735" spans="1:9" x14ac:dyDescent="0.3">
      <c r="A735" t="s">
        <v>773</v>
      </c>
      <c r="B735" t="s">
        <v>22</v>
      </c>
      <c r="D735" t="s">
        <v>40</v>
      </c>
      <c r="F735" t="s">
        <v>41</v>
      </c>
      <c r="G735" s="2">
        <v>13677.16</v>
      </c>
      <c r="H735" t="s">
        <v>20</v>
      </c>
      <c r="I735">
        <v>39</v>
      </c>
    </row>
    <row r="736" spans="1:9" hidden="1" x14ac:dyDescent="0.3">
      <c r="A736" t="s">
        <v>774</v>
      </c>
      <c r="B736" t="s">
        <v>37</v>
      </c>
      <c r="D736" t="s">
        <v>18</v>
      </c>
      <c r="F736" t="s">
        <v>19</v>
      </c>
      <c r="G736" s="2">
        <v>3823.24</v>
      </c>
      <c r="H736" t="s">
        <v>35</v>
      </c>
      <c r="I736">
        <v>20</v>
      </c>
    </row>
    <row r="737" spans="1:9" hidden="1" x14ac:dyDescent="0.3">
      <c r="A737" t="s">
        <v>775</v>
      </c>
      <c r="B737" t="s">
        <v>37</v>
      </c>
      <c r="D737" t="s">
        <v>56</v>
      </c>
      <c r="F737" t="s">
        <v>57</v>
      </c>
      <c r="G737" s="2">
        <v>13437.47</v>
      </c>
      <c r="H737" t="s">
        <v>35</v>
      </c>
      <c r="I737">
        <v>30</v>
      </c>
    </row>
    <row r="738" spans="1:9" hidden="1" x14ac:dyDescent="0.3">
      <c r="A738" t="s">
        <v>776</v>
      </c>
      <c r="B738" t="s">
        <v>54</v>
      </c>
      <c r="D738" t="s">
        <v>18</v>
      </c>
      <c r="F738" t="s">
        <v>19</v>
      </c>
      <c r="G738" s="2">
        <v>7027.14</v>
      </c>
      <c r="H738" t="s">
        <v>20</v>
      </c>
      <c r="I738">
        <v>53</v>
      </c>
    </row>
    <row r="739" spans="1:9" hidden="1" x14ac:dyDescent="0.3">
      <c r="A739" t="s">
        <v>777</v>
      </c>
      <c r="B739" t="s">
        <v>46</v>
      </c>
      <c r="D739" t="s">
        <v>56</v>
      </c>
      <c r="F739" t="s">
        <v>57</v>
      </c>
      <c r="G739" s="2">
        <v>8788.08</v>
      </c>
      <c r="H739" t="s">
        <v>11</v>
      </c>
      <c r="I739">
        <v>0</v>
      </c>
    </row>
    <row r="740" spans="1:9" hidden="1" x14ac:dyDescent="0.3">
      <c r="A740" t="s">
        <v>778</v>
      </c>
      <c r="B740" t="s">
        <v>52</v>
      </c>
      <c r="D740" t="s">
        <v>32</v>
      </c>
      <c r="F740" t="s">
        <v>33</v>
      </c>
      <c r="G740" s="2">
        <v>9155.2999999999993</v>
      </c>
      <c r="H740" t="s">
        <v>15</v>
      </c>
      <c r="I740">
        <v>7</v>
      </c>
    </row>
    <row r="741" spans="1:9" hidden="1" x14ac:dyDescent="0.3">
      <c r="A741" t="s">
        <v>779</v>
      </c>
      <c r="B741" t="s">
        <v>37</v>
      </c>
      <c r="D741" t="s">
        <v>9</v>
      </c>
      <c r="F741" t="s">
        <v>10</v>
      </c>
      <c r="G741" s="2">
        <v>5077.4399999999996</v>
      </c>
      <c r="H741" t="s">
        <v>11</v>
      </c>
      <c r="I741">
        <v>0</v>
      </c>
    </row>
    <row r="742" spans="1:9" hidden="1" x14ac:dyDescent="0.3">
      <c r="A742" t="s">
        <v>780</v>
      </c>
      <c r="B742" t="s">
        <v>22</v>
      </c>
      <c r="D742" t="s">
        <v>62</v>
      </c>
      <c r="F742" t="s">
        <v>19</v>
      </c>
      <c r="G742" s="2">
        <v>2865.98</v>
      </c>
      <c r="H742" t="s">
        <v>15</v>
      </c>
      <c r="I742">
        <v>16</v>
      </c>
    </row>
    <row r="743" spans="1:9" hidden="1" x14ac:dyDescent="0.3">
      <c r="A743" t="s">
        <v>781</v>
      </c>
      <c r="B743" t="s">
        <v>22</v>
      </c>
      <c r="D743" t="s">
        <v>32</v>
      </c>
      <c r="F743" t="s">
        <v>33</v>
      </c>
      <c r="G743" s="2">
        <v>6091.27</v>
      </c>
      <c r="H743" t="s">
        <v>15</v>
      </c>
      <c r="I743">
        <v>9</v>
      </c>
    </row>
    <row r="744" spans="1:9" x14ac:dyDescent="0.3">
      <c r="A744" t="s">
        <v>782</v>
      </c>
      <c r="B744" t="s">
        <v>31</v>
      </c>
      <c r="D744" t="s">
        <v>40</v>
      </c>
      <c r="F744" t="s">
        <v>41</v>
      </c>
      <c r="G744" s="2">
        <v>14962.16</v>
      </c>
      <c r="H744" t="s">
        <v>11</v>
      </c>
      <c r="I744">
        <v>7</v>
      </c>
    </row>
    <row r="745" spans="1:9" hidden="1" x14ac:dyDescent="0.3">
      <c r="A745" t="s">
        <v>783</v>
      </c>
      <c r="B745" t="s">
        <v>17</v>
      </c>
      <c r="D745" t="s">
        <v>99</v>
      </c>
      <c r="F745" t="s">
        <v>29</v>
      </c>
      <c r="G745" s="2">
        <v>8766.2000000000007</v>
      </c>
      <c r="H745" t="s">
        <v>47</v>
      </c>
      <c r="I745">
        <v>53</v>
      </c>
    </row>
    <row r="746" spans="1:9" hidden="1" x14ac:dyDescent="0.3">
      <c r="A746" t="s">
        <v>784</v>
      </c>
      <c r="B746" t="s">
        <v>27</v>
      </c>
      <c r="D746" t="s">
        <v>28</v>
      </c>
      <c r="F746" t="s">
        <v>29</v>
      </c>
      <c r="G746" s="2">
        <v>10911.92</v>
      </c>
      <c r="H746" t="s">
        <v>11</v>
      </c>
      <c r="I746">
        <v>9</v>
      </c>
    </row>
    <row r="747" spans="1:9" hidden="1" x14ac:dyDescent="0.3">
      <c r="A747" t="s">
        <v>785</v>
      </c>
      <c r="B747" t="s">
        <v>37</v>
      </c>
      <c r="D747" t="s">
        <v>13</v>
      </c>
      <c r="F747" t="s">
        <v>14</v>
      </c>
      <c r="G747" s="2">
        <v>4537.91</v>
      </c>
      <c r="H747" t="s">
        <v>11</v>
      </c>
      <c r="I747">
        <v>0</v>
      </c>
    </row>
    <row r="748" spans="1:9" hidden="1" x14ac:dyDescent="0.3">
      <c r="A748" t="s">
        <v>786</v>
      </c>
      <c r="B748" t="s">
        <v>46</v>
      </c>
      <c r="D748" t="s">
        <v>9</v>
      </c>
      <c r="F748" t="s">
        <v>10</v>
      </c>
      <c r="G748" s="2">
        <v>7088.17</v>
      </c>
      <c r="H748" t="s">
        <v>35</v>
      </c>
      <c r="I748">
        <v>47</v>
      </c>
    </row>
    <row r="749" spans="1:9" hidden="1" x14ac:dyDescent="0.3">
      <c r="A749" t="s">
        <v>787</v>
      </c>
      <c r="B749" t="s">
        <v>8</v>
      </c>
      <c r="D749" t="s">
        <v>24</v>
      </c>
      <c r="F749" t="s">
        <v>25</v>
      </c>
      <c r="G749" s="2">
        <v>14206.5</v>
      </c>
      <c r="H749" t="s">
        <v>47</v>
      </c>
      <c r="I749">
        <v>42</v>
      </c>
    </row>
    <row r="750" spans="1:9" hidden="1" x14ac:dyDescent="0.3">
      <c r="A750" t="s">
        <v>788</v>
      </c>
      <c r="B750" t="s">
        <v>31</v>
      </c>
      <c r="D750" t="s">
        <v>18</v>
      </c>
      <c r="F750" t="s">
        <v>19</v>
      </c>
      <c r="G750" s="2">
        <v>5361.49</v>
      </c>
      <c r="H750" t="s">
        <v>35</v>
      </c>
      <c r="I750">
        <v>20</v>
      </c>
    </row>
    <row r="751" spans="1:9" hidden="1" x14ac:dyDescent="0.3">
      <c r="A751" t="s">
        <v>789</v>
      </c>
      <c r="B751" t="s">
        <v>8</v>
      </c>
      <c r="D751" t="s">
        <v>28</v>
      </c>
      <c r="F751" t="s">
        <v>29</v>
      </c>
      <c r="G751" s="2">
        <v>5606.65</v>
      </c>
      <c r="H751" t="s">
        <v>20</v>
      </c>
      <c r="I751">
        <v>30</v>
      </c>
    </row>
    <row r="752" spans="1:9" x14ac:dyDescent="0.3">
      <c r="A752" t="s">
        <v>790</v>
      </c>
      <c r="B752" t="s">
        <v>54</v>
      </c>
      <c r="D752" t="s">
        <v>40</v>
      </c>
      <c r="F752" t="s">
        <v>41</v>
      </c>
      <c r="G752" s="2">
        <v>852.47</v>
      </c>
      <c r="H752" t="s">
        <v>20</v>
      </c>
      <c r="I752">
        <v>38</v>
      </c>
    </row>
    <row r="753" spans="1:9" hidden="1" x14ac:dyDescent="0.3">
      <c r="A753" t="s">
        <v>791</v>
      </c>
      <c r="B753" t="s">
        <v>46</v>
      </c>
      <c r="D753" t="s">
        <v>9</v>
      </c>
      <c r="F753" t="s">
        <v>10</v>
      </c>
      <c r="G753" s="2">
        <v>7109.68</v>
      </c>
      <c r="H753" t="s">
        <v>11</v>
      </c>
      <c r="I753">
        <v>2</v>
      </c>
    </row>
    <row r="754" spans="1:9" hidden="1" x14ac:dyDescent="0.3">
      <c r="A754" t="s">
        <v>792</v>
      </c>
      <c r="B754" t="s">
        <v>44</v>
      </c>
      <c r="D754" t="s">
        <v>62</v>
      </c>
      <c r="F754" t="s">
        <v>19</v>
      </c>
      <c r="G754" s="2">
        <v>6225.95</v>
      </c>
      <c r="H754" t="s">
        <v>35</v>
      </c>
      <c r="I754">
        <v>10</v>
      </c>
    </row>
    <row r="755" spans="1:9" hidden="1" x14ac:dyDescent="0.3">
      <c r="A755" t="s">
        <v>793</v>
      </c>
      <c r="B755" t="s">
        <v>52</v>
      </c>
      <c r="D755" t="s">
        <v>18</v>
      </c>
      <c r="F755" t="s">
        <v>19</v>
      </c>
      <c r="G755" s="2">
        <v>5172.91</v>
      </c>
      <c r="H755" t="s">
        <v>47</v>
      </c>
      <c r="I755">
        <v>58</v>
      </c>
    </row>
    <row r="756" spans="1:9" hidden="1" x14ac:dyDescent="0.3">
      <c r="A756" t="s">
        <v>794</v>
      </c>
      <c r="B756" t="s">
        <v>8</v>
      </c>
      <c r="D756" t="s">
        <v>24</v>
      </c>
      <c r="F756" t="s">
        <v>25</v>
      </c>
      <c r="G756" s="2">
        <v>4779.93</v>
      </c>
      <c r="H756" t="s">
        <v>20</v>
      </c>
      <c r="I756">
        <v>50</v>
      </c>
    </row>
    <row r="757" spans="1:9" x14ac:dyDescent="0.3">
      <c r="A757" t="s">
        <v>795</v>
      </c>
      <c r="B757" t="s">
        <v>22</v>
      </c>
      <c r="D757" t="s">
        <v>40</v>
      </c>
      <c r="F757" t="s">
        <v>41</v>
      </c>
      <c r="G757" s="2">
        <v>5022.8100000000004</v>
      </c>
      <c r="H757" t="s">
        <v>47</v>
      </c>
      <c r="I757">
        <v>21</v>
      </c>
    </row>
    <row r="758" spans="1:9" hidden="1" x14ac:dyDescent="0.3">
      <c r="A758" t="s">
        <v>796</v>
      </c>
      <c r="B758" t="s">
        <v>54</v>
      </c>
      <c r="D758" t="s">
        <v>99</v>
      </c>
      <c r="F758" t="s">
        <v>29</v>
      </c>
      <c r="G758" s="2">
        <v>6808.2</v>
      </c>
      <c r="H758" t="s">
        <v>11</v>
      </c>
      <c r="I758">
        <v>0</v>
      </c>
    </row>
    <row r="759" spans="1:9" hidden="1" x14ac:dyDescent="0.3">
      <c r="A759" t="s">
        <v>797</v>
      </c>
      <c r="B759" t="s">
        <v>44</v>
      </c>
      <c r="D759" t="s">
        <v>24</v>
      </c>
      <c r="F759" t="s">
        <v>25</v>
      </c>
      <c r="G759" s="2">
        <v>7369.18</v>
      </c>
      <c r="H759" t="s">
        <v>35</v>
      </c>
      <c r="I759">
        <v>6</v>
      </c>
    </row>
    <row r="760" spans="1:9" hidden="1" x14ac:dyDescent="0.3">
      <c r="A760" t="s">
        <v>798</v>
      </c>
      <c r="B760" t="s">
        <v>52</v>
      </c>
      <c r="D760" t="s">
        <v>32</v>
      </c>
      <c r="F760" t="s">
        <v>33</v>
      </c>
      <c r="G760" s="2">
        <v>6533.99</v>
      </c>
      <c r="H760" t="s">
        <v>15</v>
      </c>
      <c r="I760">
        <v>28</v>
      </c>
    </row>
    <row r="761" spans="1:9" hidden="1" x14ac:dyDescent="0.3">
      <c r="A761" t="s">
        <v>799</v>
      </c>
      <c r="B761" t="s">
        <v>27</v>
      </c>
      <c r="D761" t="s">
        <v>56</v>
      </c>
      <c r="F761" t="s">
        <v>57</v>
      </c>
      <c r="G761" s="2">
        <v>119.8</v>
      </c>
      <c r="H761" t="s">
        <v>15</v>
      </c>
      <c r="I761">
        <v>47</v>
      </c>
    </row>
    <row r="762" spans="1:9" hidden="1" x14ac:dyDescent="0.3">
      <c r="A762" t="s">
        <v>800</v>
      </c>
      <c r="B762" t="s">
        <v>17</v>
      </c>
      <c r="D762" t="s">
        <v>99</v>
      </c>
      <c r="F762" t="s">
        <v>29</v>
      </c>
      <c r="G762" s="2">
        <v>13385.5</v>
      </c>
      <c r="H762" t="s">
        <v>35</v>
      </c>
      <c r="I762">
        <v>34</v>
      </c>
    </row>
    <row r="763" spans="1:9" hidden="1" x14ac:dyDescent="0.3">
      <c r="A763" t="s">
        <v>801</v>
      </c>
      <c r="B763" t="s">
        <v>17</v>
      </c>
      <c r="D763" t="s">
        <v>99</v>
      </c>
      <c r="F763" t="s">
        <v>29</v>
      </c>
      <c r="G763" s="2">
        <v>10167.379999999999</v>
      </c>
      <c r="H763" t="s">
        <v>20</v>
      </c>
      <c r="I763">
        <v>16</v>
      </c>
    </row>
    <row r="764" spans="1:9" hidden="1" x14ac:dyDescent="0.3">
      <c r="A764" t="s">
        <v>802</v>
      </c>
      <c r="B764" t="s">
        <v>44</v>
      </c>
      <c r="D764" t="s">
        <v>28</v>
      </c>
      <c r="F764" t="s">
        <v>29</v>
      </c>
      <c r="G764" s="2">
        <v>4715.78</v>
      </c>
      <c r="H764" t="s">
        <v>11</v>
      </c>
      <c r="I764">
        <v>0</v>
      </c>
    </row>
    <row r="765" spans="1:9" hidden="1" x14ac:dyDescent="0.3">
      <c r="A765" t="s">
        <v>803</v>
      </c>
      <c r="B765" t="s">
        <v>52</v>
      </c>
      <c r="D765" t="s">
        <v>9</v>
      </c>
      <c r="F765" t="s">
        <v>10</v>
      </c>
      <c r="G765" s="2">
        <v>12366.47</v>
      </c>
      <c r="H765" t="s">
        <v>15</v>
      </c>
      <c r="I765">
        <v>19</v>
      </c>
    </row>
    <row r="766" spans="1:9" hidden="1" x14ac:dyDescent="0.3">
      <c r="A766" t="s">
        <v>804</v>
      </c>
      <c r="B766" t="s">
        <v>44</v>
      </c>
      <c r="D766" t="s">
        <v>13</v>
      </c>
      <c r="F766" t="s">
        <v>14</v>
      </c>
      <c r="G766" s="2">
        <v>8965.73</v>
      </c>
      <c r="H766" t="s">
        <v>15</v>
      </c>
      <c r="I766">
        <v>57</v>
      </c>
    </row>
    <row r="767" spans="1:9" hidden="1" x14ac:dyDescent="0.3">
      <c r="A767" t="s">
        <v>805</v>
      </c>
      <c r="B767" t="s">
        <v>17</v>
      </c>
      <c r="D767" t="s">
        <v>28</v>
      </c>
      <c r="F767" t="s">
        <v>29</v>
      </c>
      <c r="G767" s="2">
        <v>14942.28</v>
      </c>
      <c r="H767" t="s">
        <v>15</v>
      </c>
      <c r="I767">
        <v>49</v>
      </c>
    </row>
    <row r="768" spans="1:9" hidden="1" x14ac:dyDescent="0.3">
      <c r="A768" t="s">
        <v>806</v>
      </c>
      <c r="B768" t="s">
        <v>22</v>
      </c>
      <c r="D768" t="s">
        <v>24</v>
      </c>
      <c r="F768" t="s">
        <v>25</v>
      </c>
      <c r="G768" s="2">
        <v>14223.86</v>
      </c>
      <c r="H768" t="s">
        <v>47</v>
      </c>
      <c r="I768">
        <v>26</v>
      </c>
    </row>
    <row r="769" spans="1:9" hidden="1" x14ac:dyDescent="0.3">
      <c r="A769" t="s">
        <v>807</v>
      </c>
      <c r="B769" t="s">
        <v>22</v>
      </c>
      <c r="D769" t="s">
        <v>18</v>
      </c>
      <c r="F769" t="s">
        <v>19</v>
      </c>
      <c r="G769" s="2">
        <v>3403.6</v>
      </c>
      <c r="H769" t="s">
        <v>47</v>
      </c>
      <c r="I769">
        <v>14</v>
      </c>
    </row>
    <row r="770" spans="1:9" hidden="1" x14ac:dyDescent="0.3">
      <c r="A770" t="s">
        <v>808</v>
      </c>
      <c r="B770" t="s">
        <v>31</v>
      </c>
      <c r="D770" t="s">
        <v>32</v>
      </c>
      <c r="F770" t="s">
        <v>33</v>
      </c>
      <c r="G770" s="2">
        <v>7594.27</v>
      </c>
      <c r="H770" t="s">
        <v>11</v>
      </c>
      <c r="I770">
        <v>0</v>
      </c>
    </row>
    <row r="771" spans="1:9" hidden="1" x14ac:dyDescent="0.3">
      <c r="A771" t="s">
        <v>809</v>
      </c>
      <c r="B771" t="s">
        <v>22</v>
      </c>
      <c r="D771" t="s">
        <v>62</v>
      </c>
      <c r="F771" t="s">
        <v>19</v>
      </c>
      <c r="G771" s="2">
        <v>11580.18</v>
      </c>
      <c r="H771" t="s">
        <v>20</v>
      </c>
      <c r="I771">
        <v>39</v>
      </c>
    </row>
    <row r="772" spans="1:9" hidden="1" x14ac:dyDescent="0.3">
      <c r="A772" t="s">
        <v>810</v>
      </c>
      <c r="B772" t="s">
        <v>31</v>
      </c>
      <c r="D772" t="s">
        <v>9</v>
      </c>
      <c r="F772" t="s">
        <v>10</v>
      </c>
      <c r="G772" s="2">
        <v>9820.84</v>
      </c>
      <c r="H772" t="s">
        <v>11</v>
      </c>
      <c r="I772">
        <v>0</v>
      </c>
    </row>
    <row r="773" spans="1:9" x14ac:dyDescent="0.3">
      <c r="A773" t="s">
        <v>811</v>
      </c>
      <c r="B773" t="s">
        <v>44</v>
      </c>
      <c r="D773" t="s">
        <v>40</v>
      </c>
      <c r="F773" t="s">
        <v>41</v>
      </c>
      <c r="G773" s="2">
        <v>5734.79</v>
      </c>
      <c r="H773" t="s">
        <v>15</v>
      </c>
      <c r="I773">
        <v>31</v>
      </c>
    </row>
    <row r="774" spans="1:9" hidden="1" x14ac:dyDescent="0.3">
      <c r="A774" t="s">
        <v>812</v>
      </c>
      <c r="B774" t="s">
        <v>31</v>
      </c>
      <c r="D774" t="s">
        <v>18</v>
      </c>
      <c r="F774" t="s">
        <v>19</v>
      </c>
      <c r="G774" s="2">
        <v>10443.120000000001</v>
      </c>
      <c r="H774" t="s">
        <v>20</v>
      </c>
      <c r="I774">
        <v>20</v>
      </c>
    </row>
    <row r="775" spans="1:9" hidden="1" x14ac:dyDescent="0.3">
      <c r="A775" t="s">
        <v>813</v>
      </c>
      <c r="B775" t="s">
        <v>31</v>
      </c>
      <c r="D775" t="s">
        <v>9</v>
      </c>
      <c r="F775" t="s">
        <v>10</v>
      </c>
      <c r="G775" s="2">
        <v>9954.1200000000008</v>
      </c>
      <c r="H775" t="s">
        <v>11</v>
      </c>
      <c r="I775">
        <v>0</v>
      </c>
    </row>
    <row r="776" spans="1:9" hidden="1" x14ac:dyDescent="0.3">
      <c r="A776" t="s">
        <v>814</v>
      </c>
      <c r="B776" t="s">
        <v>8</v>
      </c>
      <c r="D776" t="s">
        <v>9</v>
      </c>
      <c r="F776" t="s">
        <v>10</v>
      </c>
      <c r="G776" s="2">
        <v>7698.19</v>
      </c>
      <c r="H776" t="s">
        <v>20</v>
      </c>
      <c r="I776">
        <v>19</v>
      </c>
    </row>
    <row r="777" spans="1:9" hidden="1" x14ac:dyDescent="0.3">
      <c r="A777" t="s">
        <v>815</v>
      </c>
      <c r="B777" t="s">
        <v>37</v>
      </c>
      <c r="D777" t="s">
        <v>9</v>
      </c>
      <c r="F777" t="s">
        <v>10</v>
      </c>
      <c r="G777" s="2">
        <v>7491.2</v>
      </c>
      <c r="H777" t="s">
        <v>20</v>
      </c>
      <c r="I777">
        <v>50</v>
      </c>
    </row>
    <row r="778" spans="1:9" hidden="1" x14ac:dyDescent="0.3">
      <c r="A778" t="s">
        <v>816</v>
      </c>
      <c r="B778" t="s">
        <v>37</v>
      </c>
      <c r="D778" t="s">
        <v>13</v>
      </c>
      <c r="F778" t="s">
        <v>14</v>
      </c>
      <c r="G778" s="2">
        <v>14598.14</v>
      </c>
      <c r="H778" t="s">
        <v>15</v>
      </c>
      <c r="I778">
        <v>27</v>
      </c>
    </row>
    <row r="779" spans="1:9" hidden="1" x14ac:dyDescent="0.3">
      <c r="A779" t="s">
        <v>817</v>
      </c>
      <c r="B779" t="s">
        <v>52</v>
      </c>
      <c r="D779" t="s">
        <v>24</v>
      </c>
      <c r="F779" t="s">
        <v>25</v>
      </c>
      <c r="G779" s="2">
        <v>639.12</v>
      </c>
      <c r="H779" t="s">
        <v>15</v>
      </c>
      <c r="I779">
        <v>14</v>
      </c>
    </row>
    <row r="780" spans="1:9" hidden="1" x14ac:dyDescent="0.3">
      <c r="A780" t="s">
        <v>818</v>
      </c>
      <c r="B780" t="s">
        <v>54</v>
      </c>
      <c r="D780" t="s">
        <v>28</v>
      </c>
      <c r="F780" t="s">
        <v>29</v>
      </c>
      <c r="G780" s="2">
        <v>3555.85</v>
      </c>
      <c r="H780" t="s">
        <v>11</v>
      </c>
      <c r="I780">
        <v>0</v>
      </c>
    </row>
    <row r="781" spans="1:9" x14ac:dyDescent="0.3">
      <c r="A781" t="s">
        <v>819</v>
      </c>
      <c r="B781" t="s">
        <v>8</v>
      </c>
      <c r="D781" t="s">
        <v>40</v>
      </c>
      <c r="F781" t="s">
        <v>41</v>
      </c>
      <c r="G781" s="2">
        <v>2279.71</v>
      </c>
      <c r="H781" t="s">
        <v>11</v>
      </c>
      <c r="I781">
        <v>0</v>
      </c>
    </row>
    <row r="782" spans="1:9" hidden="1" x14ac:dyDescent="0.3">
      <c r="A782" t="s">
        <v>820</v>
      </c>
      <c r="B782" t="s">
        <v>37</v>
      </c>
      <c r="D782" t="s">
        <v>62</v>
      </c>
      <c r="F782" t="s">
        <v>19</v>
      </c>
      <c r="G782" s="2">
        <v>9682.84</v>
      </c>
      <c r="H782" t="s">
        <v>15</v>
      </c>
      <c r="I782">
        <v>19</v>
      </c>
    </row>
    <row r="783" spans="1:9" x14ac:dyDescent="0.3">
      <c r="A783" t="s">
        <v>821</v>
      </c>
      <c r="B783" t="s">
        <v>22</v>
      </c>
      <c r="D783" t="s">
        <v>40</v>
      </c>
      <c r="F783" t="s">
        <v>41</v>
      </c>
      <c r="G783" s="2">
        <v>798.7</v>
      </c>
      <c r="H783" t="s">
        <v>35</v>
      </c>
      <c r="I783">
        <v>56</v>
      </c>
    </row>
    <row r="784" spans="1:9" hidden="1" x14ac:dyDescent="0.3">
      <c r="A784" t="s">
        <v>822</v>
      </c>
      <c r="B784" t="s">
        <v>8</v>
      </c>
      <c r="D784" t="s">
        <v>62</v>
      </c>
      <c r="F784" t="s">
        <v>19</v>
      </c>
      <c r="G784" s="2">
        <v>5435.21</v>
      </c>
      <c r="H784" t="s">
        <v>20</v>
      </c>
      <c r="I784">
        <v>28</v>
      </c>
    </row>
    <row r="785" spans="1:9" hidden="1" x14ac:dyDescent="0.3">
      <c r="A785" t="s">
        <v>823</v>
      </c>
      <c r="B785" t="s">
        <v>44</v>
      </c>
      <c r="D785" t="s">
        <v>9</v>
      </c>
      <c r="F785" t="s">
        <v>10</v>
      </c>
      <c r="G785" s="2">
        <v>12776.13</v>
      </c>
      <c r="H785" t="s">
        <v>47</v>
      </c>
      <c r="I785">
        <v>1</v>
      </c>
    </row>
    <row r="786" spans="1:9" hidden="1" x14ac:dyDescent="0.3">
      <c r="A786" t="s">
        <v>824</v>
      </c>
      <c r="B786" t="s">
        <v>37</v>
      </c>
      <c r="D786" t="s">
        <v>24</v>
      </c>
      <c r="F786" t="s">
        <v>25</v>
      </c>
      <c r="G786" s="2">
        <v>4963.4799999999996</v>
      </c>
      <c r="H786" t="s">
        <v>47</v>
      </c>
      <c r="I786">
        <v>40</v>
      </c>
    </row>
    <row r="787" spans="1:9" hidden="1" x14ac:dyDescent="0.3">
      <c r="A787" t="s">
        <v>825</v>
      </c>
      <c r="B787" t="s">
        <v>31</v>
      </c>
      <c r="D787" t="s">
        <v>9</v>
      </c>
      <c r="F787" t="s">
        <v>10</v>
      </c>
      <c r="G787" s="2">
        <v>5620.7</v>
      </c>
      <c r="H787" t="s">
        <v>15</v>
      </c>
      <c r="I787">
        <v>8</v>
      </c>
    </row>
    <row r="788" spans="1:9" hidden="1" x14ac:dyDescent="0.3">
      <c r="A788" t="s">
        <v>826</v>
      </c>
      <c r="B788" t="s">
        <v>31</v>
      </c>
      <c r="D788" t="s">
        <v>56</v>
      </c>
      <c r="F788" t="s">
        <v>57</v>
      </c>
      <c r="G788" s="2">
        <v>14436.53</v>
      </c>
      <c r="H788" t="s">
        <v>11</v>
      </c>
      <c r="I788">
        <v>7</v>
      </c>
    </row>
    <row r="789" spans="1:9" hidden="1" x14ac:dyDescent="0.3">
      <c r="A789" t="s">
        <v>827</v>
      </c>
      <c r="B789" t="s">
        <v>44</v>
      </c>
      <c r="D789" t="s">
        <v>24</v>
      </c>
      <c r="F789" t="s">
        <v>25</v>
      </c>
      <c r="G789" s="2">
        <v>1740.2</v>
      </c>
      <c r="H789" t="s">
        <v>20</v>
      </c>
      <c r="I789">
        <v>4</v>
      </c>
    </row>
    <row r="790" spans="1:9" hidden="1" x14ac:dyDescent="0.3">
      <c r="A790" t="s">
        <v>828</v>
      </c>
      <c r="B790" t="s">
        <v>54</v>
      </c>
      <c r="D790" t="s">
        <v>9</v>
      </c>
      <c r="F790" t="s">
        <v>10</v>
      </c>
      <c r="G790" s="2">
        <v>6269.61</v>
      </c>
      <c r="H790" t="s">
        <v>20</v>
      </c>
      <c r="I790">
        <v>52</v>
      </c>
    </row>
    <row r="791" spans="1:9" x14ac:dyDescent="0.3">
      <c r="A791" t="s">
        <v>829</v>
      </c>
      <c r="B791" t="s">
        <v>54</v>
      </c>
      <c r="D791" t="s">
        <v>40</v>
      </c>
      <c r="F791" t="s">
        <v>41</v>
      </c>
      <c r="G791" s="2">
        <v>2759.85</v>
      </c>
      <c r="H791" t="s">
        <v>15</v>
      </c>
      <c r="I791">
        <v>23</v>
      </c>
    </row>
    <row r="792" spans="1:9" hidden="1" x14ac:dyDescent="0.3">
      <c r="A792" t="s">
        <v>830</v>
      </c>
      <c r="B792" t="s">
        <v>44</v>
      </c>
      <c r="D792" t="s">
        <v>99</v>
      </c>
      <c r="F792" t="s">
        <v>29</v>
      </c>
      <c r="G792" s="2">
        <v>12945.51</v>
      </c>
      <c r="H792" t="s">
        <v>35</v>
      </c>
      <c r="I792">
        <v>47</v>
      </c>
    </row>
    <row r="793" spans="1:9" x14ac:dyDescent="0.3">
      <c r="A793" t="s">
        <v>831</v>
      </c>
      <c r="B793" t="s">
        <v>22</v>
      </c>
      <c r="D793" t="s">
        <v>40</v>
      </c>
      <c r="F793" t="s">
        <v>41</v>
      </c>
      <c r="G793" s="2">
        <v>13809.95</v>
      </c>
      <c r="H793" t="s">
        <v>11</v>
      </c>
      <c r="I793">
        <v>7</v>
      </c>
    </row>
    <row r="794" spans="1:9" hidden="1" x14ac:dyDescent="0.3">
      <c r="A794" t="s">
        <v>832</v>
      </c>
      <c r="B794" t="s">
        <v>46</v>
      </c>
      <c r="D794" t="s">
        <v>9</v>
      </c>
      <c r="F794" t="s">
        <v>10</v>
      </c>
      <c r="G794" s="2">
        <v>3961.11</v>
      </c>
      <c r="H794" t="s">
        <v>15</v>
      </c>
      <c r="I794">
        <v>46</v>
      </c>
    </row>
    <row r="795" spans="1:9" hidden="1" x14ac:dyDescent="0.3">
      <c r="A795" t="s">
        <v>833</v>
      </c>
      <c r="B795" t="s">
        <v>46</v>
      </c>
      <c r="D795" t="s">
        <v>32</v>
      </c>
      <c r="F795" t="s">
        <v>33</v>
      </c>
      <c r="G795" s="2">
        <v>10870.41</v>
      </c>
      <c r="H795" t="s">
        <v>11</v>
      </c>
      <c r="I795">
        <v>0</v>
      </c>
    </row>
    <row r="796" spans="1:9" hidden="1" x14ac:dyDescent="0.3">
      <c r="A796" t="s">
        <v>834</v>
      </c>
      <c r="B796" t="s">
        <v>17</v>
      </c>
      <c r="D796" t="s">
        <v>13</v>
      </c>
      <c r="F796" t="s">
        <v>14</v>
      </c>
      <c r="G796" s="2">
        <v>10339.209999999999</v>
      </c>
      <c r="H796" t="s">
        <v>20</v>
      </c>
      <c r="I796">
        <v>28</v>
      </c>
    </row>
    <row r="797" spans="1:9" x14ac:dyDescent="0.3">
      <c r="A797" t="s">
        <v>835</v>
      </c>
      <c r="B797" t="s">
        <v>44</v>
      </c>
      <c r="D797" t="s">
        <v>40</v>
      </c>
      <c r="F797" t="s">
        <v>41</v>
      </c>
      <c r="G797" s="2">
        <v>5218.95</v>
      </c>
      <c r="H797" t="s">
        <v>20</v>
      </c>
      <c r="I797">
        <v>25</v>
      </c>
    </row>
    <row r="798" spans="1:9" hidden="1" x14ac:dyDescent="0.3">
      <c r="A798" t="s">
        <v>836</v>
      </c>
      <c r="B798" t="s">
        <v>44</v>
      </c>
      <c r="D798" t="s">
        <v>13</v>
      </c>
      <c r="F798" t="s">
        <v>14</v>
      </c>
      <c r="G798" s="2">
        <v>13386.33</v>
      </c>
      <c r="H798" t="s">
        <v>20</v>
      </c>
      <c r="I798">
        <v>1</v>
      </c>
    </row>
    <row r="799" spans="1:9" hidden="1" x14ac:dyDescent="0.3">
      <c r="A799" t="s">
        <v>837</v>
      </c>
      <c r="B799" t="s">
        <v>44</v>
      </c>
      <c r="D799" t="s">
        <v>13</v>
      </c>
      <c r="F799" t="s">
        <v>14</v>
      </c>
      <c r="G799" s="2">
        <v>12740.24</v>
      </c>
      <c r="H799" t="s">
        <v>35</v>
      </c>
      <c r="I799">
        <v>56</v>
      </c>
    </row>
    <row r="800" spans="1:9" hidden="1" x14ac:dyDescent="0.3">
      <c r="A800" t="s">
        <v>838</v>
      </c>
      <c r="B800" t="s">
        <v>37</v>
      </c>
      <c r="D800" t="s">
        <v>9</v>
      </c>
      <c r="F800" t="s">
        <v>10</v>
      </c>
      <c r="G800" s="2">
        <v>11283.88</v>
      </c>
      <c r="H800" t="s">
        <v>15</v>
      </c>
      <c r="I800">
        <v>22</v>
      </c>
    </row>
    <row r="801" spans="1:9" hidden="1" x14ac:dyDescent="0.3">
      <c r="A801" t="s">
        <v>839</v>
      </c>
      <c r="B801" t="s">
        <v>31</v>
      </c>
      <c r="D801" t="s">
        <v>99</v>
      </c>
      <c r="F801" t="s">
        <v>29</v>
      </c>
      <c r="G801" s="2">
        <v>7628.59</v>
      </c>
      <c r="H801" t="s">
        <v>20</v>
      </c>
      <c r="I801">
        <v>25</v>
      </c>
    </row>
    <row r="802" spans="1:9" hidden="1" x14ac:dyDescent="0.3">
      <c r="A802" t="s">
        <v>840</v>
      </c>
      <c r="B802" t="s">
        <v>52</v>
      </c>
      <c r="D802" t="s">
        <v>18</v>
      </c>
      <c r="F802" t="s">
        <v>19</v>
      </c>
      <c r="G802" s="2">
        <v>1228.52</v>
      </c>
      <c r="H802" t="s">
        <v>15</v>
      </c>
      <c r="I802">
        <v>37</v>
      </c>
    </row>
    <row r="803" spans="1:9" hidden="1" x14ac:dyDescent="0.3">
      <c r="A803" t="s">
        <v>841</v>
      </c>
      <c r="B803" t="s">
        <v>52</v>
      </c>
      <c r="D803" t="s">
        <v>9</v>
      </c>
      <c r="F803" t="s">
        <v>10</v>
      </c>
      <c r="G803" s="2">
        <v>12856.01</v>
      </c>
      <c r="H803" t="s">
        <v>15</v>
      </c>
      <c r="I803">
        <v>8</v>
      </c>
    </row>
    <row r="804" spans="1:9" hidden="1" x14ac:dyDescent="0.3">
      <c r="A804" t="s">
        <v>842</v>
      </c>
      <c r="B804" t="s">
        <v>46</v>
      </c>
      <c r="D804" t="s">
        <v>99</v>
      </c>
      <c r="F804" t="s">
        <v>29</v>
      </c>
      <c r="G804" s="2">
        <v>1584.52</v>
      </c>
      <c r="H804" t="s">
        <v>15</v>
      </c>
      <c r="I804">
        <v>36</v>
      </c>
    </row>
    <row r="805" spans="1:9" hidden="1" x14ac:dyDescent="0.3">
      <c r="A805" t="s">
        <v>843</v>
      </c>
      <c r="B805" t="s">
        <v>37</v>
      </c>
      <c r="D805" t="s">
        <v>99</v>
      </c>
      <c r="F805" t="s">
        <v>29</v>
      </c>
      <c r="G805" s="2">
        <v>12397.34</v>
      </c>
      <c r="H805" t="s">
        <v>35</v>
      </c>
      <c r="I805">
        <v>40</v>
      </c>
    </row>
    <row r="806" spans="1:9" hidden="1" x14ac:dyDescent="0.3">
      <c r="A806" t="s">
        <v>844</v>
      </c>
      <c r="B806" t="s">
        <v>27</v>
      </c>
      <c r="D806" t="s">
        <v>13</v>
      </c>
      <c r="F806" t="s">
        <v>14</v>
      </c>
      <c r="G806" s="2">
        <v>8456.8700000000008</v>
      </c>
      <c r="H806" t="s">
        <v>20</v>
      </c>
      <c r="I806">
        <v>30</v>
      </c>
    </row>
    <row r="807" spans="1:9" hidden="1" x14ac:dyDescent="0.3">
      <c r="A807" t="s">
        <v>845</v>
      </c>
      <c r="B807" t="s">
        <v>52</v>
      </c>
      <c r="D807" t="s">
        <v>28</v>
      </c>
      <c r="F807" t="s">
        <v>29</v>
      </c>
      <c r="G807" s="2">
        <v>12388.4</v>
      </c>
      <c r="H807" t="s">
        <v>35</v>
      </c>
      <c r="I807">
        <v>55</v>
      </c>
    </row>
    <row r="808" spans="1:9" hidden="1" x14ac:dyDescent="0.3">
      <c r="A808" t="s">
        <v>846</v>
      </c>
      <c r="B808" t="s">
        <v>27</v>
      </c>
      <c r="D808" t="s">
        <v>28</v>
      </c>
      <c r="F808" t="s">
        <v>29</v>
      </c>
      <c r="G808" s="2">
        <v>8424.26</v>
      </c>
      <c r="H808" t="s">
        <v>20</v>
      </c>
      <c r="I808">
        <v>31</v>
      </c>
    </row>
    <row r="809" spans="1:9" x14ac:dyDescent="0.3">
      <c r="A809" t="s">
        <v>847</v>
      </c>
      <c r="B809" t="s">
        <v>22</v>
      </c>
      <c r="D809" t="s">
        <v>40</v>
      </c>
      <c r="F809" t="s">
        <v>41</v>
      </c>
      <c r="G809" s="2">
        <v>1754.65</v>
      </c>
      <c r="H809" t="s">
        <v>35</v>
      </c>
      <c r="I809">
        <v>15</v>
      </c>
    </row>
    <row r="810" spans="1:9" hidden="1" x14ac:dyDescent="0.3">
      <c r="A810" t="s">
        <v>848</v>
      </c>
      <c r="B810" t="s">
        <v>37</v>
      </c>
      <c r="D810" t="s">
        <v>28</v>
      </c>
      <c r="F810" t="s">
        <v>29</v>
      </c>
      <c r="G810" s="2">
        <v>5359.33</v>
      </c>
      <c r="H810" t="s">
        <v>20</v>
      </c>
      <c r="I810">
        <v>52</v>
      </c>
    </row>
    <row r="811" spans="1:9" hidden="1" x14ac:dyDescent="0.3">
      <c r="A811" t="s">
        <v>849</v>
      </c>
      <c r="B811" t="s">
        <v>44</v>
      </c>
      <c r="D811" t="s">
        <v>13</v>
      </c>
      <c r="F811" t="s">
        <v>14</v>
      </c>
      <c r="G811" s="2">
        <v>7853.68</v>
      </c>
      <c r="H811" t="s">
        <v>20</v>
      </c>
      <c r="I811">
        <v>3</v>
      </c>
    </row>
    <row r="812" spans="1:9" x14ac:dyDescent="0.3">
      <c r="A812" t="s">
        <v>850</v>
      </c>
      <c r="B812" t="s">
        <v>31</v>
      </c>
      <c r="D812" t="s">
        <v>40</v>
      </c>
      <c r="F812" t="s">
        <v>41</v>
      </c>
      <c r="G812" s="2">
        <v>2149.7199999999998</v>
      </c>
      <c r="H812" t="s">
        <v>20</v>
      </c>
      <c r="I812">
        <v>47</v>
      </c>
    </row>
    <row r="813" spans="1:9" hidden="1" x14ac:dyDescent="0.3">
      <c r="A813" t="s">
        <v>851</v>
      </c>
      <c r="B813" t="s">
        <v>17</v>
      </c>
      <c r="D813" t="s">
        <v>9</v>
      </c>
      <c r="F813" t="s">
        <v>10</v>
      </c>
      <c r="G813" s="2">
        <v>3851.63</v>
      </c>
      <c r="H813" t="s">
        <v>11</v>
      </c>
      <c r="I813">
        <v>2</v>
      </c>
    </row>
    <row r="814" spans="1:9" x14ac:dyDescent="0.3">
      <c r="A814" t="s">
        <v>852</v>
      </c>
      <c r="B814" t="s">
        <v>31</v>
      </c>
      <c r="D814" t="s">
        <v>40</v>
      </c>
      <c r="F814" t="s">
        <v>41</v>
      </c>
      <c r="G814" s="2">
        <v>12377.08</v>
      </c>
      <c r="H814" t="s">
        <v>11</v>
      </c>
      <c r="I814">
        <v>0</v>
      </c>
    </row>
    <row r="815" spans="1:9" hidden="1" x14ac:dyDescent="0.3">
      <c r="A815" t="s">
        <v>853</v>
      </c>
      <c r="B815" t="s">
        <v>8</v>
      </c>
      <c r="D815" t="s">
        <v>99</v>
      </c>
      <c r="F815" t="s">
        <v>29</v>
      </c>
      <c r="G815" s="2">
        <v>13903.07</v>
      </c>
      <c r="H815" t="s">
        <v>35</v>
      </c>
      <c r="I815">
        <v>38</v>
      </c>
    </row>
    <row r="816" spans="1:9" x14ac:dyDescent="0.3">
      <c r="A816" t="s">
        <v>854</v>
      </c>
      <c r="B816" t="s">
        <v>44</v>
      </c>
      <c r="D816" t="s">
        <v>40</v>
      </c>
      <c r="F816" t="s">
        <v>41</v>
      </c>
      <c r="G816" s="2">
        <v>6887.95</v>
      </c>
      <c r="H816" t="s">
        <v>20</v>
      </c>
      <c r="I816">
        <v>33</v>
      </c>
    </row>
    <row r="817" spans="1:9" x14ac:dyDescent="0.3">
      <c r="A817" t="s">
        <v>855</v>
      </c>
      <c r="B817" t="s">
        <v>31</v>
      </c>
      <c r="D817" t="s">
        <v>40</v>
      </c>
      <c r="F817" t="s">
        <v>41</v>
      </c>
      <c r="G817" s="2">
        <v>114.85</v>
      </c>
      <c r="H817" t="s">
        <v>35</v>
      </c>
      <c r="I817">
        <v>36</v>
      </c>
    </row>
    <row r="818" spans="1:9" hidden="1" x14ac:dyDescent="0.3">
      <c r="A818" t="s">
        <v>856</v>
      </c>
      <c r="B818" t="s">
        <v>44</v>
      </c>
      <c r="D818" t="s">
        <v>32</v>
      </c>
      <c r="F818" t="s">
        <v>33</v>
      </c>
      <c r="G818" s="2">
        <v>7269.83</v>
      </c>
      <c r="H818" t="s">
        <v>15</v>
      </c>
      <c r="I818">
        <v>59</v>
      </c>
    </row>
    <row r="819" spans="1:9" hidden="1" x14ac:dyDescent="0.3">
      <c r="A819" t="s">
        <v>857</v>
      </c>
      <c r="B819" t="s">
        <v>31</v>
      </c>
      <c r="D819" t="s">
        <v>32</v>
      </c>
      <c r="F819" t="s">
        <v>33</v>
      </c>
      <c r="G819" s="2">
        <v>2646.07</v>
      </c>
      <c r="H819" t="s">
        <v>35</v>
      </c>
      <c r="I819">
        <v>7</v>
      </c>
    </row>
    <row r="820" spans="1:9" hidden="1" x14ac:dyDescent="0.3">
      <c r="A820" t="s">
        <v>858</v>
      </c>
      <c r="B820" t="s">
        <v>31</v>
      </c>
      <c r="D820" t="s">
        <v>32</v>
      </c>
      <c r="F820" t="s">
        <v>33</v>
      </c>
      <c r="G820" s="2">
        <v>9112.1</v>
      </c>
      <c r="H820" t="s">
        <v>15</v>
      </c>
      <c r="I820">
        <v>57</v>
      </c>
    </row>
    <row r="821" spans="1:9" hidden="1" x14ac:dyDescent="0.3">
      <c r="A821" t="s">
        <v>859</v>
      </c>
      <c r="B821" t="s">
        <v>17</v>
      </c>
      <c r="D821" t="s">
        <v>56</v>
      </c>
      <c r="F821" t="s">
        <v>57</v>
      </c>
      <c r="G821" s="2">
        <v>14693.54</v>
      </c>
      <c r="H821" t="s">
        <v>47</v>
      </c>
      <c r="I821">
        <v>49</v>
      </c>
    </row>
    <row r="822" spans="1:9" hidden="1" x14ac:dyDescent="0.3">
      <c r="A822" t="s">
        <v>860</v>
      </c>
      <c r="B822" t="s">
        <v>52</v>
      </c>
      <c r="D822" t="s">
        <v>62</v>
      </c>
      <c r="F822" t="s">
        <v>19</v>
      </c>
      <c r="G822" s="2">
        <v>5998.16</v>
      </c>
      <c r="H822" t="s">
        <v>15</v>
      </c>
      <c r="I822">
        <v>19</v>
      </c>
    </row>
    <row r="823" spans="1:9" hidden="1" x14ac:dyDescent="0.3">
      <c r="A823" t="s">
        <v>861</v>
      </c>
      <c r="B823" t="s">
        <v>46</v>
      </c>
      <c r="D823" t="s">
        <v>24</v>
      </c>
      <c r="F823" t="s">
        <v>25</v>
      </c>
      <c r="G823" s="2">
        <v>2115.79</v>
      </c>
      <c r="H823" t="s">
        <v>20</v>
      </c>
      <c r="I823">
        <v>57</v>
      </c>
    </row>
    <row r="824" spans="1:9" hidden="1" x14ac:dyDescent="0.3">
      <c r="A824" t="s">
        <v>862</v>
      </c>
      <c r="B824" t="s">
        <v>46</v>
      </c>
      <c r="D824" t="s">
        <v>62</v>
      </c>
      <c r="F824" t="s">
        <v>19</v>
      </c>
      <c r="G824" s="2">
        <v>12653.96</v>
      </c>
      <c r="H824" t="s">
        <v>15</v>
      </c>
      <c r="I824">
        <v>21</v>
      </c>
    </row>
    <row r="825" spans="1:9" hidden="1" x14ac:dyDescent="0.3">
      <c r="A825" t="s">
        <v>863</v>
      </c>
      <c r="B825" t="s">
        <v>27</v>
      </c>
      <c r="D825" t="s">
        <v>18</v>
      </c>
      <c r="F825" t="s">
        <v>19</v>
      </c>
      <c r="G825" s="2">
        <v>3053.29</v>
      </c>
      <c r="H825" t="s">
        <v>20</v>
      </c>
      <c r="I825">
        <v>19</v>
      </c>
    </row>
    <row r="826" spans="1:9" hidden="1" x14ac:dyDescent="0.3">
      <c r="A826" t="s">
        <v>864</v>
      </c>
      <c r="B826" t="s">
        <v>46</v>
      </c>
      <c r="D826" t="s">
        <v>24</v>
      </c>
      <c r="F826" t="s">
        <v>25</v>
      </c>
      <c r="G826" s="2">
        <v>14720.97</v>
      </c>
      <c r="H826" t="s">
        <v>20</v>
      </c>
      <c r="I826">
        <v>12</v>
      </c>
    </row>
    <row r="827" spans="1:9" hidden="1" x14ac:dyDescent="0.3">
      <c r="A827" t="s">
        <v>865</v>
      </c>
      <c r="B827" t="s">
        <v>27</v>
      </c>
      <c r="D827" t="s">
        <v>13</v>
      </c>
      <c r="F827" t="s">
        <v>14</v>
      </c>
      <c r="G827" s="2">
        <v>10429.959999999999</v>
      </c>
      <c r="H827" t="s">
        <v>15</v>
      </c>
      <c r="I827">
        <v>8</v>
      </c>
    </row>
    <row r="828" spans="1:9" hidden="1" x14ac:dyDescent="0.3">
      <c r="A828" t="s">
        <v>866</v>
      </c>
      <c r="B828" t="s">
        <v>31</v>
      </c>
      <c r="D828" t="s">
        <v>13</v>
      </c>
      <c r="F828" t="s">
        <v>14</v>
      </c>
      <c r="G828" s="2">
        <v>7231.53</v>
      </c>
      <c r="H828" t="s">
        <v>20</v>
      </c>
      <c r="I828">
        <v>43</v>
      </c>
    </row>
    <row r="829" spans="1:9" hidden="1" x14ac:dyDescent="0.3">
      <c r="A829" t="s">
        <v>867</v>
      </c>
      <c r="B829" t="s">
        <v>22</v>
      </c>
      <c r="D829" t="s">
        <v>13</v>
      </c>
      <c r="F829" t="s">
        <v>14</v>
      </c>
      <c r="G829" s="2">
        <v>4324.62</v>
      </c>
      <c r="H829" t="s">
        <v>35</v>
      </c>
      <c r="I829">
        <v>52</v>
      </c>
    </row>
    <row r="830" spans="1:9" hidden="1" x14ac:dyDescent="0.3">
      <c r="A830" t="s">
        <v>868</v>
      </c>
      <c r="B830" t="s">
        <v>22</v>
      </c>
      <c r="D830" t="s">
        <v>13</v>
      </c>
      <c r="F830" t="s">
        <v>14</v>
      </c>
      <c r="G830" s="2">
        <v>1641.73</v>
      </c>
      <c r="H830" t="s">
        <v>15</v>
      </c>
      <c r="I830">
        <v>4</v>
      </c>
    </row>
    <row r="831" spans="1:9" hidden="1" x14ac:dyDescent="0.3">
      <c r="A831" t="s">
        <v>869</v>
      </c>
      <c r="B831" t="s">
        <v>37</v>
      </c>
      <c r="D831" t="s">
        <v>18</v>
      </c>
      <c r="F831" t="s">
        <v>19</v>
      </c>
      <c r="G831" s="2">
        <v>4041.33</v>
      </c>
      <c r="H831" t="s">
        <v>35</v>
      </c>
      <c r="I831">
        <v>19</v>
      </c>
    </row>
    <row r="832" spans="1:9" hidden="1" x14ac:dyDescent="0.3">
      <c r="A832" t="s">
        <v>870</v>
      </c>
      <c r="B832" t="s">
        <v>17</v>
      </c>
      <c r="D832" t="s">
        <v>24</v>
      </c>
      <c r="F832" t="s">
        <v>25</v>
      </c>
      <c r="G832" s="2">
        <v>12598.76</v>
      </c>
      <c r="H832" t="s">
        <v>20</v>
      </c>
      <c r="I832">
        <v>19</v>
      </c>
    </row>
    <row r="833" spans="1:9" hidden="1" x14ac:dyDescent="0.3">
      <c r="A833" t="s">
        <v>871</v>
      </c>
      <c r="B833" t="s">
        <v>54</v>
      </c>
      <c r="D833" t="s">
        <v>13</v>
      </c>
      <c r="F833" t="s">
        <v>14</v>
      </c>
      <c r="G833" s="2">
        <v>532.98</v>
      </c>
      <c r="H833" t="s">
        <v>35</v>
      </c>
      <c r="I833">
        <v>7</v>
      </c>
    </row>
    <row r="834" spans="1:9" hidden="1" x14ac:dyDescent="0.3">
      <c r="A834" t="s">
        <v>872</v>
      </c>
      <c r="B834" t="s">
        <v>31</v>
      </c>
      <c r="D834" t="s">
        <v>13</v>
      </c>
      <c r="F834" t="s">
        <v>14</v>
      </c>
      <c r="G834" s="2">
        <v>12979.38</v>
      </c>
      <c r="H834" t="s">
        <v>35</v>
      </c>
      <c r="I834">
        <v>36</v>
      </c>
    </row>
    <row r="835" spans="1:9" hidden="1" x14ac:dyDescent="0.3">
      <c r="A835" t="s">
        <v>873</v>
      </c>
      <c r="B835" t="s">
        <v>37</v>
      </c>
      <c r="D835" t="s">
        <v>18</v>
      </c>
      <c r="F835" t="s">
        <v>19</v>
      </c>
      <c r="G835" s="2">
        <v>7688.29</v>
      </c>
      <c r="H835" t="s">
        <v>35</v>
      </c>
      <c r="I835">
        <v>45</v>
      </c>
    </row>
    <row r="836" spans="1:9" hidden="1" x14ac:dyDescent="0.3">
      <c r="A836" t="s">
        <v>874</v>
      </c>
      <c r="B836" t="s">
        <v>27</v>
      </c>
      <c r="D836" t="s">
        <v>99</v>
      </c>
      <c r="F836" t="s">
        <v>29</v>
      </c>
      <c r="G836" s="2">
        <v>13900.95</v>
      </c>
      <c r="H836" t="s">
        <v>15</v>
      </c>
      <c r="I836">
        <v>51</v>
      </c>
    </row>
    <row r="837" spans="1:9" hidden="1" x14ac:dyDescent="0.3">
      <c r="A837" t="s">
        <v>875</v>
      </c>
      <c r="B837" t="s">
        <v>54</v>
      </c>
      <c r="D837" t="s">
        <v>13</v>
      </c>
      <c r="F837" t="s">
        <v>14</v>
      </c>
      <c r="G837" s="2">
        <v>854.34</v>
      </c>
      <c r="H837" t="s">
        <v>35</v>
      </c>
      <c r="I837">
        <v>13</v>
      </c>
    </row>
    <row r="838" spans="1:9" x14ac:dyDescent="0.3">
      <c r="A838" t="s">
        <v>876</v>
      </c>
      <c r="B838" t="s">
        <v>27</v>
      </c>
      <c r="D838" t="s">
        <v>40</v>
      </c>
      <c r="F838" t="s">
        <v>41</v>
      </c>
      <c r="G838" s="2">
        <v>12458.25</v>
      </c>
      <c r="H838" t="s">
        <v>47</v>
      </c>
      <c r="I838">
        <v>46</v>
      </c>
    </row>
    <row r="839" spans="1:9" hidden="1" x14ac:dyDescent="0.3">
      <c r="A839" t="s">
        <v>877</v>
      </c>
      <c r="B839" t="s">
        <v>17</v>
      </c>
      <c r="D839" t="s">
        <v>32</v>
      </c>
      <c r="F839" t="s">
        <v>33</v>
      </c>
      <c r="G839" s="2">
        <v>8221.9</v>
      </c>
      <c r="H839" t="s">
        <v>20</v>
      </c>
      <c r="I839">
        <v>50</v>
      </c>
    </row>
    <row r="840" spans="1:9" hidden="1" x14ac:dyDescent="0.3">
      <c r="A840" t="s">
        <v>878</v>
      </c>
      <c r="B840" t="s">
        <v>44</v>
      </c>
      <c r="D840" t="s">
        <v>62</v>
      </c>
      <c r="F840" t="s">
        <v>19</v>
      </c>
      <c r="G840" s="2">
        <v>6759.78</v>
      </c>
      <c r="H840" t="s">
        <v>47</v>
      </c>
      <c r="I840">
        <v>5</v>
      </c>
    </row>
    <row r="841" spans="1:9" hidden="1" x14ac:dyDescent="0.3">
      <c r="A841" t="s">
        <v>879</v>
      </c>
      <c r="B841" t="s">
        <v>37</v>
      </c>
      <c r="D841" t="s">
        <v>24</v>
      </c>
      <c r="F841" t="s">
        <v>25</v>
      </c>
      <c r="G841" s="2">
        <v>11039.44</v>
      </c>
      <c r="H841" t="s">
        <v>11</v>
      </c>
      <c r="I841">
        <v>1</v>
      </c>
    </row>
    <row r="842" spans="1:9" hidden="1" x14ac:dyDescent="0.3">
      <c r="A842" t="s">
        <v>880</v>
      </c>
      <c r="B842" t="s">
        <v>22</v>
      </c>
      <c r="D842" t="s">
        <v>13</v>
      </c>
      <c r="F842" t="s">
        <v>14</v>
      </c>
      <c r="G842" s="2">
        <v>4000.38</v>
      </c>
      <c r="H842" t="s">
        <v>11</v>
      </c>
      <c r="I842">
        <v>0</v>
      </c>
    </row>
    <row r="843" spans="1:9" hidden="1" x14ac:dyDescent="0.3">
      <c r="A843" t="s">
        <v>881</v>
      </c>
      <c r="B843" t="s">
        <v>44</v>
      </c>
      <c r="D843" t="s">
        <v>28</v>
      </c>
      <c r="F843" t="s">
        <v>29</v>
      </c>
      <c r="G843" s="2">
        <v>7021.65</v>
      </c>
      <c r="H843" t="s">
        <v>47</v>
      </c>
      <c r="I843">
        <v>3</v>
      </c>
    </row>
    <row r="844" spans="1:9" hidden="1" x14ac:dyDescent="0.3">
      <c r="A844" t="s">
        <v>882</v>
      </c>
      <c r="B844" t="s">
        <v>54</v>
      </c>
      <c r="D844" t="s">
        <v>28</v>
      </c>
      <c r="F844" t="s">
        <v>29</v>
      </c>
      <c r="G844" s="2">
        <v>8973.36</v>
      </c>
      <c r="H844" t="s">
        <v>35</v>
      </c>
      <c r="I844">
        <v>41</v>
      </c>
    </row>
    <row r="845" spans="1:9" hidden="1" x14ac:dyDescent="0.3">
      <c r="A845" t="s">
        <v>883</v>
      </c>
      <c r="B845" t="s">
        <v>8</v>
      </c>
      <c r="D845" t="s">
        <v>62</v>
      </c>
      <c r="F845" t="s">
        <v>19</v>
      </c>
      <c r="G845" s="2">
        <v>7383.74</v>
      </c>
      <c r="H845" t="s">
        <v>20</v>
      </c>
      <c r="I845">
        <v>23</v>
      </c>
    </row>
    <row r="846" spans="1:9" hidden="1" x14ac:dyDescent="0.3">
      <c r="A846" t="s">
        <v>884</v>
      </c>
      <c r="B846" t="s">
        <v>8</v>
      </c>
      <c r="D846" t="s">
        <v>28</v>
      </c>
      <c r="F846" t="s">
        <v>29</v>
      </c>
      <c r="G846" s="2">
        <v>7904.66</v>
      </c>
      <c r="H846" t="s">
        <v>47</v>
      </c>
      <c r="I846">
        <v>34</v>
      </c>
    </row>
    <row r="847" spans="1:9" hidden="1" x14ac:dyDescent="0.3">
      <c r="A847" t="s">
        <v>885</v>
      </c>
      <c r="B847" t="s">
        <v>8</v>
      </c>
      <c r="D847" t="s">
        <v>13</v>
      </c>
      <c r="F847" t="s">
        <v>14</v>
      </c>
      <c r="G847" s="2">
        <v>2432.59</v>
      </c>
      <c r="H847" t="s">
        <v>15</v>
      </c>
      <c r="I847">
        <v>26</v>
      </c>
    </row>
    <row r="848" spans="1:9" hidden="1" x14ac:dyDescent="0.3">
      <c r="A848" t="s">
        <v>886</v>
      </c>
      <c r="B848" t="s">
        <v>27</v>
      </c>
      <c r="D848" t="s">
        <v>28</v>
      </c>
      <c r="F848" t="s">
        <v>29</v>
      </c>
      <c r="G848" s="2">
        <v>3356.91</v>
      </c>
      <c r="H848" t="s">
        <v>11</v>
      </c>
      <c r="I848">
        <v>0</v>
      </c>
    </row>
    <row r="849" spans="1:9" hidden="1" x14ac:dyDescent="0.3">
      <c r="A849" t="s">
        <v>887</v>
      </c>
      <c r="B849" t="s">
        <v>52</v>
      </c>
      <c r="D849" t="s">
        <v>62</v>
      </c>
      <c r="F849" t="s">
        <v>19</v>
      </c>
      <c r="G849" s="2">
        <v>3315.76</v>
      </c>
      <c r="H849" t="s">
        <v>35</v>
      </c>
      <c r="I849">
        <v>34</v>
      </c>
    </row>
    <row r="850" spans="1:9" hidden="1" x14ac:dyDescent="0.3">
      <c r="A850" t="s">
        <v>888</v>
      </c>
      <c r="B850" t="s">
        <v>8</v>
      </c>
      <c r="D850" t="s">
        <v>13</v>
      </c>
      <c r="F850" t="s">
        <v>14</v>
      </c>
      <c r="G850" s="2">
        <v>12364.14</v>
      </c>
      <c r="H850" t="s">
        <v>47</v>
      </c>
      <c r="I850">
        <v>1</v>
      </c>
    </row>
    <row r="851" spans="1:9" hidden="1" x14ac:dyDescent="0.3">
      <c r="A851" t="s">
        <v>889</v>
      </c>
      <c r="B851" t="s">
        <v>54</v>
      </c>
      <c r="D851" t="s">
        <v>28</v>
      </c>
      <c r="F851" t="s">
        <v>29</v>
      </c>
      <c r="G851" s="2">
        <v>6712.73</v>
      </c>
      <c r="H851" t="s">
        <v>47</v>
      </c>
      <c r="I851">
        <v>40</v>
      </c>
    </row>
    <row r="852" spans="1:9" hidden="1" x14ac:dyDescent="0.3">
      <c r="A852" t="s">
        <v>890</v>
      </c>
      <c r="B852" t="s">
        <v>31</v>
      </c>
      <c r="D852" t="s">
        <v>18</v>
      </c>
      <c r="F852" t="s">
        <v>19</v>
      </c>
      <c r="G852" s="2">
        <v>14385.51</v>
      </c>
      <c r="H852" t="s">
        <v>20</v>
      </c>
      <c r="I852">
        <v>21</v>
      </c>
    </row>
    <row r="853" spans="1:9" hidden="1" x14ac:dyDescent="0.3">
      <c r="A853" t="s">
        <v>891</v>
      </c>
      <c r="B853" t="s">
        <v>22</v>
      </c>
      <c r="D853" t="s">
        <v>9</v>
      </c>
      <c r="F853" t="s">
        <v>10</v>
      </c>
      <c r="G853" s="2">
        <v>5818.85</v>
      </c>
      <c r="H853" t="s">
        <v>15</v>
      </c>
      <c r="I853">
        <v>19</v>
      </c>
    </row>
    <row r="854" spans="1:9" hidden="1" x14ac:dyDescent="0.3">
      <c r="A854" t="s">
        <v>892</v>
      </c>
      <c r="B854" t="s">
        <v>46</v>
      </c>
      <c r="D854" t="s">
        <v>13</v>
      </c>
      <c r="F854" t="s">
        <v>14</v>
      </c>
      <c r="G854" s="2">
        <v>12340.53</v>
      </c>
      <c r="H854" t="s">
        <v>15</v>
      </c>
      <c r="I854">
        <v>52</v>
      </c>
    </row>
    <row r="855" spans="1:9" x14ac:dyDescent="0.3">
      <c r="A855" t="s">
        <v>893</v>
      </c>
      <c r="B855" t="s">
        <v>17</v>
      </c>
      <c r="D855" t="s">
        <v>40</v>
      </c>
      <c r="F855" t="s">
        <v>41</v>
      </c>
      <c r="G855" s="2">
        <v>7327.73</v>
      </c>
      <c r="H855" t="s">
        <v>15</v>
      </c>
      <c r="I855">
        <v>42</v>
      </c>
    </row>
    <row r="856" spans="1:9" hidden="1" x14ac:dyDescent="0.3">
      <c r="A856" t="s">
        <v>894</v>
      </c>
      <c r="B856" t="s">
        <v>46</v>
      </c>
      <c r="D856" t="s">
        <v>28</v>
      </c>
      <c r="F856" t="s">
        <v>29</v>
      </c>
      <c r="G856" s="2">
        <v>7732.73</v>
      </c>
      <c r="H856" t="s">
        <v>47</v>
      </c>
      <c r="I856">
        <v>11</v>
      </c>
    </row>
    <row r="857" spans="1:9" hidden="1" x14ac:dyDescent="0.3">
      <c r="A857" t="s">
        <v>895</v>
      </c>
      <c r="B857" t="s">
        <v>31</v>
      </c>
      <c r="D857" t="s">
        <v>13</v>
      </c>
      <c r="F857" t="s">
        <v>14</v>
      </c>
      <c r="G857" s="2">
        <v>159.59</v>
      </c>
      <c r="H857" t="s">
        <v>11</v>
      </c>
      <c r="I857">
        <v>0</v>
      </c>
    </row>
    <row r="858" spans="1:9" hidden="1" x14ac:dyDescent="0.3">
      <c r="A858" t="s">
        <v>896</v>
      </c>
      <c r="B858" t="s">
        <v>31</v>
      </c>
      <c r="D858" t="s">
        <v>9</v>
      </c>
      <c r="F858" t="s">
        <v>10</v>
      </c>
      <c r="G858" s="2">
        <v>3123.41</v>
      </c>
      <c r="H858" t="s">
        <v>35</v>
      </c>
      <c r="I858">
        <v>57</v>
      </c>
    </row>
    <row r="859" spans="1:9" hidden="1" x14ac:dyDescent="0.3">
      <c r="A859" t="s">
        <v>897</v>
      </c>
      <c r="B859" t="s">
        <v>22</v>
      </c>
      <c r="D859" t="s">
        <v>9</v>
      </c>
      <c r="F859" t="s">
        <v>10</v>
      </c>
      <c r="G859" s="2">
        <v>11216.02</v>
      </c>
      <c r="H859" t="s">
        <v>11</v>
      </c>
      <c r="I859">
        <v>0</v>
      </c>
    </row>
    <row r="860" spans="1:9" hidden="1" x14ac:dyDescent="0.3">
      <c r="A860" t="s">
        <v>898</v>
      </c>
      <c r="B860" t="s">
        <v>54</v>
      </c>
      <c r="D860" t="s">
        <v>9</v>
      </c>
      <c r="F860" t="s">
        <v>10</v>
      </c>
      <c r="G860" s="2">
        <v>1145.06</v>
      </c>
      <c r="H860" t="s">
        <v>11</v>
      </c>
      <c r="I860">
        <v>0</v>
      </c>
    </row>
    <row r="861" spans="1:9" hidden="1" x14ac:dyDescent="0.3">
      <c r="A861" t="s">
        <v>899</v>
      </c>
      <c r="B861" t="s">
        <v>31</v>
      </c>
      <c r="D861" t="s">
        <v>18</v>
      </c>
      <c r="F861" t="s">
        <v>19</v>
      </c>
      <c r="G861" s="2">
        <v>13669.25</v>
      </c>
      <c r="H861" t="s">
        <v>15</v>
      </c>
      <c r="I861">
        <v>29</v>
      </c>
    </row>
    <row r="862" spans="1:9" hidden="1" x14ac:dyDescent="0.3">
      <c r="A862" t="s">
        <v>900</v>
      </c>
      <c r="B862" t="s">
        <v>46</v>
      </c>
      <c r="D862" t="s">
        <v>56</v>
      </c>
      <c r="F862" t="s">
        <v>57</v>
      </c>
      <c r="G862" s="2">
        <v>4780.24</v>
      </c>
      <c r="H862" t="s">
        <v>15</v>
      </c>
      <c r="I862">
        <v>8</v>
      </c>
    </row>
    <row r="863" spans="1:9" hidden="1" x14ac:dyDescent="0.3">
      <c r="A863" t="s">
        <v>901</v>
      </c>
      <c r="B863" t="s">
        <v>54</v>
      </c>
      <c r="D863" t="s">
        <v>99</v>
      </c>
      <c r="F863" t="s">
        <v>29</v>
      </c>
      <c r="G863" s="2">
        <v>9639.27</v>
      </c>
      <c r="H863" t="s">
        <v>20</v>
      </c>
      <c r="I863">
        <v>49</v>
      </c>
    </row>
    <row r="864" spans="1:9" hidden="1" x14ac:dyDescent="0.3">
      <c r="A864" t="s">
        <v>902</v>
      </c>
      <c r="B864" t="s">
        <v>37</v>
      </c>
      <c r="D864" t="s">
        <v>99</v>
      </c>
      <c r="F864" t="s">
        <v>29</v>
      </c>
      <c r="G864" s="2">
        <v>10528.19</v>
      </c>
      <c r="H864" t="s">
        <v>11</v>
      </c>
      <c r="I864">
        <v>0</v>
      </c>
    </row>
    <row r="865" spans="1:9" hidden="1" x14ac:dyDescent="0.3">
      <c r="A865" t="s">
        <v>903</v>
      </c>
      <c r="B865" t="s">
        <v>52</v>
      </c>
      <c r="D865" t="s">
        <v>62</v>
      </c>
      <c r="F865" t="s">
        <v>19</v>
      </c>
      <c r="G865" s="2">
        <v>9118.16</v>
      </c>
      <c r="H865" t="s">
        <v>15</v>
      </c>
      <c r="I865">
        <v>60</v>
      </c>
    </row>
    <row r="866" spans="1:9" hidden="1" x14ac:dyDescent="0.3">
      <c r="A866" t="s">
        <v>904</v>
      </c>
      <c r="B866" t="s">
        <v>44</v>
      </c>
      <c r="D866" t="s">
        <v>56</v>
      </c>
      <c r="F866" t="s">
        <v>57</v>
      </c>
      <c r="G866" s="2">
        <v>5956.94</v>
      </c>
      <c r="H866" t="s">
        <v>20</v>
      </c>
      <c r="I866">
        <v>31</v>
      </c>
    </row>
    <row r="867" spans="1:9" hidden="1" x14ac:dyDescent="0.3">
      <c r="A867" t="s">
        <v>905</v>
      </c>
      <c r="B867" t="s">
        <v>46</v>
      </c>
      <c r="D867" t="s">
        <v>13</v>
      </c>
      <c r="F867" t="s">
        <v>14</v>
      </c>
      <c r="G867" s="2">
        <v>3336.99</v>
      </c>
      <c r="H867" t="s">
        <v>35</v>
      </c>
      <c r="I867">
        <v>51</v>
      </c>
    </row>
    <row r="868" spans="1:9" hidden="1" x14ac:dyDescent="0.3">
      <c r="A868" t="s">
        <v>906</v>
      </c>
      <c r="B868" t="s">
        <v>22</v>
      </c>
      <c r="D868" t="s">
        <v>62</v>
      </c>
      <c r="F868" t="s">
        <v>19</v>
      </c>
      <c r="G868" s="2">
        <v>14404.01</v>
      </c>
      <c r="H868" t="s">
        <v>11</v>
      </c>
      <c r="I868">
        <v>0</v>
      </c>
    </row>
    <row r="869" spans="1:9" hidden="1" x14ac:dyDescent="0.3">
      <c r="A869" t="s">
        <v>907</v>
      </c>
      <c r="B869" t="s">
        <v>54</v>
      </c>
      <c r="D869" t="s">
        <v>13</v>
      </c>
      <c r="F869" t="s">
        <v>14</v>
      </c>
      <c r="G869" s="2">
        <v>13127.77</v>
      </c>
      <c r="H869" t="s">
        <v>11</v>
      </c>
      <c r="I869">
        <v>0</v>
      </c>
    </row>
    <row r="870" spans="1:9" hidden="1" x14ac:dyDescent="0.3">
      <c r="A870" t="s">
        <v>908</v>
      </c>
      <c r="B870" t="s">
        <v>37</v>
      </c>
      <c r="D870" t="s">
        <v>32</v>
      </c>
      <c r="F870" t="s">
        <v>33</v>
      </c>
      <c r="G870" s="2">
        <v>5941.52</v>
      </c>
      <c r="H870" t="s">
        <v>15</v>
      </c>
      <c r="I870">
        <v>6</v>
      </c>
    </row>
    <row r="871" spans="1:9" hidden="1" x14ac:dyDescent="0.3">
      <c r="A871" t="s">
        <v>909</v>
      </c>
      <c r="B871" t="s">
        <v>17</v>
      </c>
      <c r="D871" t="s">
        <v>18</v>
      </c>
      <c r="F871" t="s">
        <v>19</v>
      </c>
      <c r="G871" s="2">
        <v>11237.03</v>
      </c>
      <c r="H871" t="s">
        <v>47</v>
      </c>
      <c r="I871">
        <v>23</v>
      </c>
    </row>
    <row r="872" spans="1:9" hidden="1" x14ac:dyDescent="0.3">
      <c r="A872" t="s">
        <v>910</v>
      </c>
      <c r="B872" t="s">
        <v>44</v>
      </c>
      <c r="D872" t="s">
        <v>56</v>
      </c>
      <c r="F872" t="s">
        <v>57</v>
      </c>
      <c r="G872" s="2">
        <v>13589.14</v>
      </c>
      <c r="H872" t="s">
        <v>35</v>
      </c>
      <c r="I872">
        <v>10</v>
      </c>
    </row>
    <row r="873" spans="1:9" hidden="1" x14ac:dyDescent="0.3">
      <c r="A873" t="s">
        <v>911</v>
      </c>
      <c r="B873" t="s">
        <v>8</v>
      </c>
      <c r="D873" t="s">
        <v>24</v>
      </c>
      <c r="F873" t="s">
        <v>25</v>
      </c>
      <c r="G873" s="2">
        <v>3350.78</v>
      </c>
      <c r="H873" t="s">
        <v>35</v>
      </c>
      <c r="I873">
        <v>13</v>
      </c>
    </row>
    <row r="874" spans="1:9" hidden="1" x14ac:dyDescent="0.3">
      <c r="A874" t="s">
        <v>912</v>
      </c>
      <c r="B874" t="s">
        <v>46</v>
      </c>
      <c r="D874" t="s">
        <v>24</v>
      </c>
      <c r="F874" t="s">
        <v>25</v>
      </c>
      <c r="G874" s="2">
        <v>10081.120000000001</v>
      </c>
      <c r="H874" t="s">
        <v>20</v>
      </c>
      <c r="I874">
        <v>4</v>
      </c>
    </row>
    <row r="875" spans="1:9" x14ac:dyDescent="0.3">
      <c r="A875" t="s">
        <v>913</v>
      </c>
      <c r="B875" t="s">
        <v>37</v>
      </c>
      <c r="D875" t="s">
        <v>40</v>
      </c>
      <c r="F875" t="s">
        <v>41</v>
      </c>
      <c r="G875" s="2">
        <v>9687.8799999999992</v>
      </c>
      <c r="H875" t="s">
        <v>11</v>
      </c>
      <c r="I875">
        <v>0</v>
      </c>
    </row>
    <row r="876" spans="1:9" hidden="1" x14ac:dyDescent="0.3">
      <c r="A876" t="s">
        <v>914</v>
      </c>
      <c r="B876" t="s">
        <v>27</v>
      </c>
      <c r="D876" t="s">
        <v>9</v>
      </c>
      <c r="F876" t="s">
        <v>10</v>
      </c>
      <c r="G876" s="2">
        <v>3001.39</v>
      </c>
      <c r="H876" t="s">
        <v>20</v>
      </c>
      <c r="I876">
        <v>22</v>
      </c>
    </row>
    <row r="877" spans="1:9" hidden="1" x14ac:dyDescent="0.3">
      <c r="A877" t="s">
        <v>915</v>
      </c>
      <c r="B877" t="s">
        <v>17</v>
      </c>
      <c r="D877" t="s">
        <v>24</v>
      </c>
      <c r="F877" t="s">
        <v>25</v>
      </c>
      <c r="G877" s="2">
        <v>10085.870000000001</v>
      </c>
      <c r="H877" t="s">
        <v>11</v>
      </c>
      <c r="I877">
        <v>0</v>
      </c>
    </row>
    <row r="878" spans="1:9" hidden="1" x14ac:dyDescent="0.3">
      <c r="A878" t="s">
        <v>916</v>
      </c>
      <c r="B878" t="s">
        <v>37</v>
      </c>
      <c r="D878" t="s">
        <v>28</v>
      </c>
      <c r="F878" t="s">
        <v>29</v>
      </c>
      <c r="G878" s="2">
        <v>7313.63</v>
      </c>
      <c r="H878" t="s">
        <v>15</v>
      </c>
      <c r="I878">
        <v>43</v>
      </c>
    </row>
    <row r="879" spans="1:9" hidden="1" x14ac:dyDescent="0.3">
      <c r="A879" t="s">
        <v>917</v>
      </c>
      <c r="B879" t="s">
        <v>27</v>
      </c>
      <c r="D879" t="s">
        <v>32</v>
      </c>
      <c r="F879" t="s">
        <v>33</v>
      </c>
      <c r="G879" s="2">
        <v>2328.3000000000002</v>
      </c>
      <c r="H879" t="s">
        <v>20</v>
      </c>
      <c r="I879">
        <v>52</v>
      </c>
    </row>
    <row r="880" spans="1:9" hidden="1" x14ac:dyDescent="0.3">
      <c r="A880" t="s">
        <v>918</v>
      </c>
      <c r="B880" t="s">
        <v>17</v>
      </c>
      <c r="D880" t="s">
        <v>56</v>
      </c>
      <c r="F880" t="s">
        <v>57</v>
      </c>
      <c r="G880" s="2">
        <v>2571.16</v>
      </c>
      <c r="H880" t="s">
        <v>15</v>
      </c>
      <c r="I880">
        <v>51</v>
      </c>
    </row>
    <row r="881" spans="1:9" hidden="1" x14ac:dyDescent="0.3">
      <c r="A881" t="s">
        <v>919</v>
      </c>
      <c r="B881" t="s">
        <v>27</v>
      </c>
      <c r="D881" t="s">
        <v>56</v>
      </c>
      <c r="F881" t="s">
        <v>57</v>
      </c>
      <c r="G881" s="2">
        <v>4186.3599999999997</v>
      </c>
      <c r="H881" t="s">
        <v>15</v>
      </c>
      <c r="I881">
        <v>44</v>
      </c>
    </row>
    <row r="882" spans="1:9" x14ac:dyDescent="0.3">
      <c r="A882" t="s">
        <v>920</v>
      </c>
      <c r="B882" t="s">
        <v>52</v>
      </c>
      <c r="D882" t="s">
        <v>40</v>
      </c>
      <c r="F882" t="s">
        <v>41</v>
      </c>
      <c r="G882" s="2">
        <v>6969.58</v>
      </c>
      <c r="H882" t="s">
        <v>15</v>
      </c>
      <c r="I882">
        <v>20</v>
      </c>
    </row>
    <row r="883" spans="1:9" hidden="1" x14ac:dyDescent="0.3">
      <c r="A883" t="s">
        <v>921</v>
      </c>
      <c r="B883" t="s">
        <v>37</v>
      </c>
      <c r="D883" t="s">
        <v>13</v>
      </c>
      <c r="F883" t="s">
        <v>14</v>
      </c>
      <c r="G883" s="2">
        <v>1677.05</v>
      </c>
      <c r="H883" t="s">
        <v>20</v>
      </c>
      <c r="I883">
        <v>6</v>
      </c>
    </row>
    <row r="884" spans="1:9" hidden="1" x14ac:dyDescent="0.3">
      <c r="A884" t="s">
        <v>922</v>
      </c>
      <c r="B884" t="s">
        <v>8</v>
      </c>
      <c r="D884" t="s">
        <v>24</v>
      </c>
      <c r="F884" t="s">
        <v>25</v>
      </c>
      <c r="G884" s="2">
        <v>13374.89</v>
      </c>
      <c r="H884" t="s">
        <v>11</v>
      </c>
      <c r="I884">
        <v>0</v>
      </c>
    </row>
    <row r="885" spans="1:9" hidden="1" x14ac:dyDescent="0.3">
      <c r="A885" t="s">
        <v>923</v>
      </c>
      <c r="B885" t="s">
        <v>54</v>
      </c>
      <c r="D885" t="s">
        <v>99</v>
      </c>
      <c r="F885" t="s">
        <v>29</v>
      </c>
      <c r="G885" s="2">
        <v>12751.33</v>
      </c>
      <c r="H885" t="s">
        <v>20</v>
      </c>
      <c r="I885">
        <v>53</v>
      </c>
    </row>
    <row r="886" spans="1:9" hidden="1" x14ac:dyDescent="0.3">
      <c r="A886" t="s">
        <v>924</v>
      </c>
      <c r="B886" t="s">
        <v>22</v>
      </c>
      <c r="D886" t="s">
        <v>32</v>
      </c>
      <c r="F886" t="s">
        <v>33</v>
      </c>
      <c r="G886" s="2">
        <v>6106.76</v>
      </c>
      <c r="H886" t="s">
        <v>20</v>
      </c>
      <c r="I886">
        <v>59</v>
      </c>
    </row>
    <row r="887" spans="1:9" hidden="1" x14ac:dyDescent="0.3">
      <c r="A887" t="s">
        <v>925</v>
      </c>
      <c r="B887" t="s">
        <v>52</v>
      </c>
      <c r="D887" t="s">
        <v>13</v>
      </c>
      <c r="F887" t="s">
        <v>14</v>
      </c>
      <c r="G887" s="2">
        <v>3946.21</v>
      </c>
      <c r="H887" t="s">
        <v>47</v>
      </c>
      <c r="I887">
        <v>35</v>
      </c>
    </row>
    <row r="888" spans="1:9" hidden="1" x14ac:dyDescent="0.3">
      <c r="A888" t="s">
        <v>926</v>
      </c>
      <c r="B888" t="s">
        <v>44</v>
      </c>
      <c r="D888" t="s">
        <v>24</v>
      </c>
      <c r="F888" t="s">
        <v>25</v>
      </c>
      <c r="G888" s="2">
        <v>5518.99</v>
      </c>
      <c r="H888" t="s">
        <v>11</v>
      </c>
      <c r="I888">
        <v>0</v>
      </c>
    </row>
    <row r="889" spans="1:9" x14ac:dyDescent="0.3">
      <c r="A889" t="s">
        <v>927</v>
      </c>
      <c r="B889" t="s">
        <v>17</v>
      </c>
      <c r="D889" t="s">
        <v>40</v>
      </c>
      <c r="F889" t="s">
        <v>41</v>
      </c>
      <c r="G889" s="2">
        <v>7541.79</v>
      </c>
      <c r="H889" t="s">
        <v>11</v>
      </c>
      <c r="I889">
        <v>0</v>
      </c>
    </row>
    <row r="890" spans="1:9" hidden="1" x14ac:dyDescent="0.3">
      <c r="A890" t="s">
        <v>928</v>
      </c>
      <c r="B890" t="s">
        <v>52</v>
      </c>
      <c r="D890" t="s">
        <v>32</v>
      </c>
      <c r="F890" t="s">
        <v>33</v>
      </c>
      <c r="G890" s="2">
        <v>10278.219999999999</v>
      </c>
      <c r="H890" t="s">
        <v>35</v>
      </c>
      <c r="I890">
        <v>9</v>
      </c>
    </row>
    <row r="891" spans="1:9" hidden="1" x14ac:dyDescent="0.3">
      <c r="A891" t="s">
        <v>929</v>
      </c>
      <c r="B891" t="s">
        <v>44</v>
      </c>
      <c r="D891" t="s">
        <v>24</v>
      </c>
      <c r="F891" t="s">
        <v>25</v>
      </c>
      <c r="G891" s="2">
        <v>2728.22</v>
      </c>
      <c r="H891" t="s">
        <v>47</v>
      </c>
      <c r="I891">
        <v>43</v>
      </c>
    </row>
    <row r="892" spans="1:9" x14ac:dyDescent="0.3">
      <c r="A892" t="s">
        <v>930</v>
      </c>
      <c r="B892" t="s">
        <v>17</v>
      </c>
      <c r="D892" t="s">
        <v>40</v>
      </c>
      <c r="F892" t="s">
        <v>41</v>
      </c>
      <c r="G892" s="2">
        <v>14090.67</v>
      </c>
      <c r="H892" t="s">
        <v>11</v>
      </c>
      <c r="I892">
        <v>13</v>
      </c>
    </row>
    <row r="893" spans="1:9" hidden="1" x14ac:dyDescent="0.3">
      <c r="A893" t="s">
        <v>931</v>
      </c>
      <c r="B893" t="s">
        <v>46</v>
      </c>
      <c r="D893" t="s">
        <v>9</v>
      </c>
      <c r="F893" t="s">
        <v>10</v>
      </c>
      <c r="G893" s="2">
        <v>4002.14</v>
      </c>
      <c r="H893" t="s">
        <v>11</v>
      </c>
      <c r="I893">
        <v>0</v>
      </c>
    </row>
    <row r="894" spans="1:9" hidden="1" x14ac:dyDescent="0.3">
      <c r="A894" t="s">
        <v>932</v>
      </c>
      <c r="B894" t="s">
        <v>22</v>
      </c>
      <c r="D894" t="s">
        <v>28</v>
      </c>
      <c r="F894" t="s">
        <v>29</v>
      </c>
      <c r="G894" s="2">
        <v>5851.99</v>
      </c>
      <c r="H894" t="s">
        <v>47</v>
      </c>
      <c r="I894">
        <v>57</v>
      </c>
    </row>
    <row r="895" spans="1:9" hidden="1" x14ac:dyDescent="0.3">
      <c r="A895" t="s">
        <v>933</v>
      </c>
      <c r="B895" t="s">
        <v>46</v>
      </c>
      <c r="D895" t="s">
        <v>99</v>
      </c>
      <c r="F895" t="s">
        <v>29</v>
      </c>
      <c r="G895" s="2">
        <v>14709.82</v>
      </c>
      <c r="H895" t="s">
        <v>15</v>
      </c>
      <c r="I895">
        <v>46</v>
      </c>
    </row>
    <row r="896" spans="1:9" hidden="1" x14ac:dyDescent="0.3">
      <c r="A896" t="s">
        <v>934</v>
      </c>
      <c r="B896" t="s">
        <v>31</v>
      </c>
      <c r="D896" t="s">
        <v>62</v>
      </c>
      <c r="F896" t="s">
        <v>19</v>
      </c>
      <c r="G896" s="2">
        <v>12531.34</v>
      </c>
      <c r="H896" t="s">
        <v>11</v>
      </c>
      <c r="I896">
        <v>0</v>
      </c>
    </row>
    <row r="897" spans="1:9" hidden="1" x14ac:dyDescent="0.3">
      <c r="A897" t="s">
        <v>935</v>
      </c>
      <c r="B897" t="s">
        <v>8</v>
      </c>
      <c r="D897" t="s">
        <v>56</v>
      </c>
      <c r="F897" t="s">
        <v>57</v>
      </c>
      <c r="G897" s="2">
        <v>5511.19</v>
      </c>
      <c r="H897" t="s">
        <v>20</v>
      </c>
      <c r="I897">
        <v>54</v>
      </c>
    </row>
    <row r="898" spans="1:9" hidden="1" x14ac:dyDescent="0.3">
      <c r="A898" t="s">
        <v>936</v>
      </c>
      <c r="B898" t="s">
        <v>46</v>
      </c>
      <c r="D898" t="s">
        <v>13</v>
      </c>
      <c r="F898" t="s">
        <v>14</v>
      </c>
      <c r="G898" s="2">
        <v>3811.22</v>
      </c>
      <c r="H898" t="s">
        <v>47</v>
      </c>
      <c r="I898">
        <v>15</v>
      </c>
    </row>
    <row r="899" spans="1:9" hidden="1" x14ac:dyDescent="0.3">
      <c r="A899" t="s">
        <v>937</v>
      </c>
      <c r="B899" t="s">
        <v>52</v>
      </c>
      <c r="D899" t="s">
        <v>56</v>
      </c>
      <c r="F899" t="s">
        <v>57</v>
      </c>
      <c r="G899" s="2">
        <v>5325.83</v>
      </c>
      <c r="H899" t="s">
        <v>35</v>
      </c>
      <c r="I899">
        <v>32</v>
      </c>
    </row>
    <row r="900" spans="1:9" hidden="1" x14ac:dyDescent="0.3">
      <c r="A900" t="s">
        <v>938</v>
      </c>
      <c r="B900" t="s">
        <v>44</v>
      </c>
      <c r="D900" t="s">
        <v>32</v>
      </c>
      <c r="F900" t="s">
        <v>33</v>
      </c>
      <c r="G900" s="2">
        <v>148.63999999999999</v>
      </c>
      <c r="H900" t="s">
        <v>47</v>
      </c>
      <c r="I900">
        <v>29</v>
      </c>
    </row>
    <row r="901" spans="1:9" hidden="1" x14ac:dyDescent="0.3">
      <c r="A901" t="s">
        <v>939</v>
      </c>
      <c r="B901" t="s">
        <v>44</v>
      </c>
      <c r="D901" t="s">
        <v>18</v>
      </c>
      <c r="F901" t="s">
        <v>19</v>
      </c>
      <c r="G901" s="2">
        <v>1202.47</v>
      </c>
      <c r="H901" t="s">
        <v>20</v>
      </c>
      <c r="I901">
        <v>14</v>
      </c>
    </row>
    <row r="902" spans="1:9" hidden="1" x14ac:dyDescent="0.3">
      <c r="A902" t="s">
        <v>940</v>
      </c>
      <c r="B902" t="s">
        <v>8</v>
      </c>
      <c r="D902" t="s">
        <v>24</v>
      </c>
      <c r="F902" t="s">
        <v>25</v>
      </c>
      <c r="G902" s="2">
        <v>2402.4899999999998</v>
      </c>
      <c r="H902" t="s">
        <v>20</v>
      </c>
      <c r="I902">
        <v>53</v>
      </c>
    </row>
    <row r="903" spans="1:9" hidden="1" x14ac:dyDescent="0.3">
      <c r="A903" t="s">
        <v>941</v>
      </c>
      <c r="B903" t="s">
        <v>52</v>
      </c>
      <c r="D903" t="s">
        <v>18</v>
      </c>
      <c r="F903" t="s">
        <v>19</v>
      </c>
      <c r="G903" s="2">
        <v>6248.47</v>
      </c>
      <c r="H903" t="s">
        <v>15</v>
      </c>
      <c r="I903">
        <v>8</v>
      </c>
    </row>
    <row r="904" spans="1:9" x14ac:dyDescent="0.3">
      <c r="A904" t="s">
        <v>942</v>
      </c>
      <c r="B904" t="s">
        <v>31</v>
      </c>
      <c r="D904" t="s">
        <v>40</v>
      </c>
      <c r="F904" t="s">
        <v>41</v>
      </c>
      <c r="G904" s="2">
        <v>7211.37</v>
      </c>
      <c r="H904" t="s">
        <v>20</v>
      </c>
      <c r="I904">
        <v>42</v>
      </c>
    </row>
    <row r="905" spans="1:9" hidden="1" x14ac:dyDescent="0.3">
      <c r="A905" t="s">
        <v>943</v>
      </c>
      <c r="B905" t="s">
        <v>44</v>
      </c>
      <c r="D905" t="s">
        <v>99</v>
      </c>
      <c r="F905" t="s">
        <v>29</v>
      </c>
      <c r="G905" s="2">
        <v>3692.87</v>
      </c>
      <c r="H905" t="s">
        <v>11</v>
      </c>
      <c r="I905">
        <v>0</v>
      </c>
    </row>
    <row r="906" spans="1:9" hidden="1" x14ac:dyDescent="0.3">
      <c r="A906" t="s">
        <v>944</v>
      </c>
      <c r="B906" t="s">
        <v>44</v>
      </c>
      <c r="D906" t="s">
        <v>13</v>
      </c>
      <c r="F906" t="s">
        <v>14</v>
      </c>
      <c r="G906" s="2">
        <v>635.9</v>
      </c>
      <c r="H906" t="s">
        <v>20</v>
      </c>
      <c r="I906">
        <v>4</v>
      </c>
    </row>
    <row r="907" spans="1:9" hidden="1" x14ac:dyDescent="0.3">
      <c r="A907" t="s">
        <v>945</v>
      </c>
      <c r="B907" t="s">
        <v>54</v>
      </c>
      <c r="D907" t="s">
        <v>62</v>
      </c>
      <c r="F907" t="s">
        <v>19</v>
      </c>
      <c r="G907" s="2">
        <v>13840.58</v>
      </c>
      <c r="H907" t="s">
        <v>15</v>
      </c>
      <c r="I907">
        <v>26</v>
      </c>
    </row>
    <row r="908" spans="1:9" hidden="1" x14ac:dyDescent="0.3">
      <c r="A908" t="s">
        <v>946</v>
      </c>
      <c r="B908" t="s">
        <v>37</v>
      </c>
      <c r="D908" t="s">
        <v>32</v>
      </c>
      <c r="F908" t="s">
        <v>33</v>
      </c>
      <c r="G908" s="2">
        <v>9582.4599999999991</v>
      </c>
      <c r="H908" t="s">
        <v>35</v>
      </c>
      <c r="I908">
        <v>47</v>
      </c>
    </row>
    <row r="909" spans="1:9" hidden="1" x14ac:dyDescent="0.3">
      <c r="A909" t="s">
        <v>947</v>
      </c>
      <c r="B909" t="s">
        <v>52</v>
      </c>
      <c r="D909" t="s">
        <v>9</v>
      </c>
      <c r="F909" t="s">
        <v>10</v>
      </c>
      <c r="G909" s="2">
        <v>3288.07</v>
      </c>
      <c r="H909" t="s">
        <v>20</v>
      </c>
      <c r="I909">
        <v>31</v>
      </c>
    </row>
    <row r="910" spans="1:9" hidden="1" x14ac:dyDescent="0.3">
      <c r="A910" t="s">
        <v>948</v>
      </c>
      <c r="B910" t="s">
        <v>54</v>
      </c>
      <c r="D910" t="s">
        <v>24</v>
      </c>
      <c r="F910" t="s">
        <v>25</v>
      </c>
      <c r="G910" s="2">
        <v>3329.49</v>
      </c>
      <c r="H910" t="s">
        <v>15</v>
      </c>
      <c r="I910">
        <v>10</v>
      </c>
    </row>
    <row r="911" spans="1:9" hidden="1" x14ac:dyDescent="0.3">
      <c r="A911" t="s">
        <v>949</v>
      </c>
      <c r="B911" t="s">
        <v>27</v>
      </c>
      <c r="D911" t="s">
        <v>24</v>
      </c>
      <c r="F911" t="s">
        <v>25</v>
      </c>
      <c r="G911" s="2">
        <v>9367.02</v>
      </c>
      <c r="H911" t="s">
        <v>15</v>
      </c>
      <c r="I911">
        <v>11</v>
      </c>
    </row>
    <row r="912" spans="1:9" x14ac:dyDescent="0.3">
      <c r="A912" t="s">
        <v>950</v>
      </c>
      <c r="B912" t="s">
        <v>44</v>
      </c>
      <c r="D912" t="s">
        <v>40</v>
      </c>
      <c r="F912" t="s">
        <v>41</v>
      </c>
      <c r="G912" s="2">
        <v>8968.17</v>
      </c>
      <c r="H912" t="s">
        <v>11</v>
      </c>
      <c r="I912">
        <v>7</v>
      </c>
    </row>
    <row r="913" spans="1:9" hidden="1" x14ac:dyDescent="0.3">
      <c r="A913" t="s">
        <v>951</v>
      </c>
      <c r="B913" t="s">
        <v>46</v>
      </c>
      <c r="D913" t="s">
        <v>9</v>
      </c>
      <c r="F913" t="s">
        <v>10</v>
      </c>
      <c r="G913" s="2">
        <v>297.61</v>
      </c>
      <c r="H913" t="s">
        <v>15</v>
      </c>
      <c r="I913">
        <v>59</v>
      </c>
    </row>
    <row r="914" spans="1:9" hidden="1" x14ac:dyDescent="0.3">
      <c r="A914" t="s">
        <v>952</v>
      </c>
      <c r="B914" t="s">
        <v>52</v>
      </c>
      <c r="D914" t="s">
        <v>56</v>
      </c>
      <c r="F914" t="s">
        <v>57</v>
      </c>
      <c r="G914" s="2">
        <v>12406.39</v>
      </c>
      <c r="H914" t="s">
        <v>20</v>
      </c>
      <c r="I914">
        <v>12</v>
      </c>
    </row>
    <row r="915" spans="1:9" hidden="1" x14ac:dyDescent="0.3">
      <c r="A915" t="s">
        <v>953</v>
      </c>
      <c r="B915" t="s">
        <v>46</v>
      </c>
      <c r="D915" t="s">
        <v>32</v>
      </c>
      <c r="F915" t="s">
        <v>33</v>
      </c>
      <c r="G915" s="2">
        <v>9017.2199999999993</v>
      </c>
      <c r="H915" t="s">
        <v>35</v>
      </c>
      <c r="I915">
        <v>35</v>
      </c>
    </row>
    <row r="916" spans="1:9" hidden="1" x14ac:dyDescent="0.3">
      <c r="A916" t="s">
        <v>954</v>
      </c>
      <c r="B916" t="s">
        <v>54</v>
      </c>
      <c r="D916" t="s">
        <v>9</v>
      </c>
      <c r="F916" t="s">
        <v>10</v>
      </c>
      <c r="G916" s="2">
        <v>1443.19</v>
      </c>
      <c r="H916" t="s">
        <v>20</v>
      </c>
      <c r="I916">
        <v>58</v>
      </c>
    </row>
    <row r="917" spans="1:9" hidden="1" x14ac:dyDescent="0.3">
      <c r="A917" t="s">
        <v>955</v>
      </c>
      <c r="B917" t="s">
        <v>31</v>
      </c>
      <c r="D917" t="s">
        <v>13</v>
      </c>
      <c r="F917" t="s">
        <v>14</v>
      </c>
      <c r="G917" s="2">
        <v>12421.45</v>
      </c>
      <c r="H917" t="s">
        <v>47</v>
      </c>
      <c r="I917">
        <v>50</v>
      </c>
    </row>
    <row r="918" spans="1:9" hidden="1" x14ac:dyDescent="0.3">
      <c r="A918" t="s">
        <v>956</v>
      </c>
      <c r="B918" t="s">
        <v>46</v>
      </c>
      <c r="D918" t="s">
        <v>13</v>
      </c>
      <c r="F918" t="s">
        <v>14</v>
      </c>
      <c r="G918" s="2">
        <v>6339.23</v>
      </c>
      <c r="H918" t="s">
        <v>35</v>
      </c>
      <c r="I918">
        <v>45</v>
      </c>
    </row>
    <row r="919" spans="1:9" hidden="1" x14ac:dyDescent="0.3">
      <c r="A919" t="s">
        <v>957</v>
      </c>
      <c r="B919" t="s">
        <v>31</v>
      </c>
      <c r="D919" t="s">
        <v>56</v>
      </c>
      <c r="F919" t="s">
        <v>57</v>
      </c>
      <c r="G919" s="2">
        <v>3480.82</v>
      </c>
      <c r="H919" t="s">
        <v>35</v>
      </c>
      <c r="I919">
        <v>51</v>
      </c>
    </row>
    <row r="920" spans="1:9" hidden="1" x14ac:dyDescent="0.3">
      <c r="A920" t="s">
        <v>958</v>
      </c>
      <c r="B920" t="s">
        <v>54</v>
      </c>
      <c r="D920" t="s">
        <v>28</v>
      </c>
      <c r="F920" t="s">
        <v>29</v>
      </c>
      <c r="G920" s="2">
        <v>8856.27</v>
      </c>
      <c r="H920" t="s">
        <v>35</v>
      </c>
      <c r="I920">
        <v>49</v>
      </c>
    </row>
    <row r="921" spans="1:9" hidden="1" x14ac:dyDescent="0.3">
      <c r="A921" t="s">
        <v>959</v>
      </c>
      <c r="B921" t="s">
        <v>8</v>
      </c>
      <c r="D921" t="s">
        <v>9</v>
      </c>
      <c r="F921" t="s">
        <v>10</v>
      </c>
      <c r="G921" s="2">
        <v>6411.07</v>
      </c>
      <c r="H921" t="s">
        <v>11</v>
      </c>
      <c r="I921">
        <v>0</v>
      </c>
    </row>
    <row r="922" spans="1:9" hidden="1" x14ac:dyDescent="0.3">
      <c r="A922" t="s">
        <v>960</v>
      </c>
      <c r="B922" t="s">
        <v>17</v>
      </c>
      <c r="D922" t="s">
        <v>62</v>
      </c>
      <c r="F922" t="s">
        <v>19</v>
      </c>
      <c r="G922" s="2">
        <v>8994.4699999999993</v>
      </c>
      <c r="H922" t="s">
        <v>15</v>
      </c>
      <c r="I922">
        <v>17</v>
      </c>
    </row>
    <row r="923" spans="1:9" hidden="1" x14ac:dyDescent="0.3">
      <c r="A923" t="s">
        <v>961</v>
      </c>
      <c r="B923" t="s">
        <v>46</v>
      </c>
      <c r="D923" t="s">
        <v>99</v>
      </c>
      <c r="F923" t="s">
        <v>29</v>
      </c>
      <c r="G923" s="2">
        <v>10651.78</v>
      </c>
      <c r="H923" t="s">
        <v>35</v>
      </c>
      <c r="I923">
        <v>37</v>
      </c>
    </row>
    <row r="924" spans="1:9" hidden="1" x14ac:dyDescent="0.3">
      <c r="A924" t="s">
        <v>962</v>
      </c>
      <c r="B924" t="s">
        <v>27</v>
      </c>
      <c r="D924" t="s">
        <v>9</v>
      </c>
      <c r="F924" t="s">
        <v>10</v>
      </c>
      <c r="G924" s="2">
        <v>7820.44</v>
      </c>
      <c r="H924" t="s">
        <v>15</v>
      </c>
      <c r="I924">
        <v>14</v>
      </c>
    </row>
    <row r="925" spans="1:9" hidden="1" x14ac:dyDescent="0.3">
      <c r="A925" t="s">
        <v>963</v>
      </c>
      <c r="B925" t="s">
        <v>37</v>
      </c>
      <c r="D925" t="s">
        <v>56</v>
      </c>
      <c r="F925" t="s">
        <v>57</v>
      </c>
      <c r="G925" s="2">
        <v>5465.93</v>
      </c>
      <c r="H925" t="s">
        <v>11</v>
      </c>
      <c r="I925">
        <v>0</v>
      </c>
    </row>
    <row r="926" spans="1:9" hidden="1" x14ac:dyDescent="0.3">
      <c r="A926" t="s">
        <v>964</v>
      </c>
      <c r="B926" t="s">
        <v>31</v>
      </c>
      <c r="D926" t="s">
        <v>13</v>
      </c>
      <c r="F926" t="s">
        <v>14</v>
      </c>
      <c r="G926" s="2">
        <v>6382.25</v>
      </c>
      <c r="H926" t="s">
        <v>15</v>
      </c>
      <c r="I926">
        <v>18</v>
      </c>
    </row>
    <row r="927" spans="1:9" hidden="1" x14ac:dyDescent="0.3">
      <c r="A927" t="s">
        <v>965</v>
      </c>
      <c r="B927" t="s">
        <v>44</v>
      </c>
      <c r="D927" t="s">
        <v>18</v>
      </c>
      <c r="F927" t="s">
        <v>19</v>
      </c>
      <c r="G927" s="2">
        <v>6227.76</v>
      </c>
      <c r="H927" t="s">
        <v>35</v>
      </c>
      <c r="I927">
        <v>31</v>
      </c>
    </row>
    <row r="928" spans="1:9" hidden="1" x14ac:dyDescent="0.3">
      <c r="A928" t="s">
        <v>966</v>
      </c>
      <c r="B928" t="s">
        <v>54</v>
      </c>
      <c r="D928" t="s">
        <v>28</v>
      </c>
      <c r="F928" t="s">
        <v>29</v>
      </c>
      <c r="G928" s="2">
        <v>8408.4500000000007</v>
      </c>
      <c r="H928" t="s">
        <v>15</v>
      </c>
      <c r="I928">
        <v>20</v>
      </c>
    </row>
    <row r="929" spans="1:9" hidden="1" x14ac:dyDescent="0.3">
      <c r="A929" t="s">
        <v>967</v>
      </c>
      <c r="B929" t="s">
        <v>8</v>
      </c>
      <c r="D929" t="s">
        <v>28</v>
      </c>
      <c r="F929" t="s">
        <v>29</v>
      </c>
      <c r="G929" s="2">
        <v>11624.21</v>
      </c>
      <c r="H929" t="s">
        <v>15</v>
      </c>
      <c r="I929">
        <v>9</v>
      </c>
    </row>
    <row r="930" spans="1:9" hidden="1" x14ac:dyDescent="0.3">
      <c r="A930" t="s">
        <v>968</v>
      </c>
      <c r="B930" t="s">
        <v>8</v>
      </c>
      <c r="D930" t="s">
        <v>18</v>
      </c>
      <c r="F930" t="s">
        <v>19</v>
      </c>
      <c r="G930" s="2">
        <v>6726.59</v>
      </c>
      <c r="H930" t="s">
        <v>20</v>
      </c>
      <c r="I930">
        <v>11</v>
      </c>
    </row>
    <row r="931" spans="1:9" hidden="1" x14ac:dyDescent="0.3">
      <c r="A931" t="s">
        <v>969</v>
      </c>
      <c r="B931" t="s">
        <v>46</v>
      </c>
      <c r="D931" t="s">
        <v>18</v>
      </c>
      <c r="F931" t="s">
        <v>19</v>
      </c>
      <c r="G931" s="2">
        <v>7649.74</v>
      </c>
      <c r="H931" t="s">
        <v>35</v>
      </c>
      <c r="I931">
        <v>52</v>
      </c>
    </row>
    <row r="932" spans="1:9" hidden="1" x14ac:dyDescent="0.3">
      <c r="A932" t="s">
        <v>970</v>
      </c>
      <c r="B932" t="s">
        <v>31</v>
      </c>
      <c r="D932" t="s">
        <v>32</v>
      </c>
      <c r="F932" t="s">
        <v>33</v>
      </c>
      <c r="G932" s="2">
        <v>10471.01</v>
      </c>
      <c r="H932" t="s">
        <v>20</v>
      </c>
      <c r="I932">
        <v>11</v>
      </c>
    </row>
    <row r="933" spans="1:9" hidden="1" x14ac:dyDescent="0.3">
      <c r="A933" t="s">
        <v>971</v>
      </c>
      <c r="B933" t="s">
        <v>54</v>
      </c>
      <c r="D933" t="s">
        <v>99</v>
      </c>
      <c r="F933" t="s">
        <v>29</v>
      </c>
      <c r="G933" s="2">
        <v>12075.32</v>
      </c>
      <c r="H933" t="s">
        <v>35</v>
      </c>
      <c r="I933">
        <v>31</v>
      </c>
    </row>
    <row r="934" spans="1:9" hidden="1" x14ac:dyDescent="0.3">
      <c r="A934" t="s">
        <v>972</v>
      </c>
      <c r="B934" t="s">
        <v>54</v>
      </c>
      <c r="D934" t="s">
        <v>56</v>
      </c>
      <c r="F934" t="s">
        <v>57</v>
      </c>
      <c r="G934" s="2">
        <v>1367.7</v>
      </c>
      <c r="H934" t="s">
        <v>11</v>
      </c>
      <c r="I934">
        <v>0</v>
      </c>
    </row>
    <row r="935" spans="1:9" hidden="1" x14ac:dyDescent="0.3">
      <c r="A935" t="s">
        <v>973</v>
      </c>
      <c r="B935" t="s">
        <v>54</v>
      </c>
      <c r="D935" t="s">
        <v>99</v>
      </c>
      <c r="F935" t="s">
        <v>29</v>
      </c>
      <c r="G935" s="2">
        <v>10881.2</v>
      </c>
      <c r="H935" t="s">
        <v>47</v>
      </c>
      <c r="I935">
        <v>26</v>
      </c>
    </row>
    <row r="936" spans="1:9" hidden="1" x14ac:dyDescent="0.3">
      <c r="A936" t="s">
        <v>974</v>
      </c>
      <c r="B936" t="s">
        <v>44</v>
      </c>
      <c r="D936" t="s">
        <v>13</v>
      </c>
      <c r="F936" t="s">
        <v>14</v>
      </c>
      <c r="G936" s="2">
        <v>4332.72</v>
      </c>
      <c r="H936" t="s">
        <v>47</v>
      </c>
      <c r="I936">
        <v>4</v>
      </c>
    </row>
    <row r="937" spans="1:9" x14ac:dyDescent="0.3">
      <c r="A937" t="s">
        <v>975</v>
      </c>
      <c r="B937" t="s">
        <v>17</v>
      </c>
      <c r="D937" t="s">
        <v>40</v>
      </c>
      <c r="F937" t="s">
        <v>41</v>
      </c>
      <c r="G937" s="2">
        <v>6612.63</v>
      </c>
      <c r="H937" t="s">
        <v>11</v>
      </c>
      <c r="I937">
        <v>0</v>
      </c>
    </row>
    <row r="938" spans="1:9" hidden="1" x14ac:dyDescent="0.3">
      <c r="A938" t="s">
        <v>976</v>
      </c>
      <c r="B938" t="s">
        <v>17</v>
      </c>
      <c r="D938" t="s">
        <v>99</v>
      </c>
      <c r="F938" t="s">
        <v>29</v>
      </c>
      <c r="G938" s="2">
        <v>11770.19</v>
      </c>
      <c r="H938" t="s">
        <v>15</v>
      </c>
      <c r="I938">
        <v>45</v>
      </c>
    </row>
    <row r="939" spans="1:9" hidden="1" x14ac:dyDescent="0.3">
      <c r="A939" t="s">
        <v>977</v>
      </c>
      <c r="B939" t="s">
        <v>44</v>
      </c>
      <c r="D939" t="s">
        <v>32</v>
      </c>
      <c r="F939" t="s">
        <v>33</v>
      </c>
      <c r="G939" s="2">
        <v>2583.77</v>
      </c>
      <c r="H939" t="s">
        <v>11</v>
      </c>
      <c r="I939">
        <v>0</v>
      </c>
    </row>
    <row r="940" spans="1:9" hidden="1" x14ac:dyDescent="0.3">
      <c r="A940" t="s">
        <v>978</v>
      </c>
      <c r="B940" t="s">
        <v>31</v>
      </c>
      <c r="D940" t="s">
        <v>9</v>
      </c>
      <c r="F940" t="s">
        <v>10</v>
      </c>
      <c r="G940" s="2">
        <v>14952.42</v>
      </c>
      <c r="H940" t="s">
        <v>35</v>
      </c>
      <c r="I940">
        <v>23</v>
      </c>
    </row>
    <row r="941" spans="1:9" hidden="1" x14ac:dyDescent="0.3">
      <c r="A941" t="s">
        <v>979</v>
      </c>
      <c r="B941" t="s">
        <v>8</v>
      </c>
      <c r="D941" t="s">
        <v>56</v>
      </c>
      <c r="F941" t="s">
        <v>57</v>
      </c>
      <c r="G941" s="2">
        <v>8811.9</v>
      </c>
      <c r="H941" t="s">
        <v>15</v>
      </c>
      <c r="I941">
        <v>48</v>
      </c>
    </row>
    <row r="942" spans="1:9" hidden="1" x14ac:dyDescent="0.3">
      <c r="A942" t="s">
        <v>980</v>
      </c>
      <c r="B942" t="s">
        <v>54</v>
      </c>
      <c r="D942" t="s">
        <v>9</v>
      </c>
      <c r="F942" t="s">
        <v>10</v>
      </c>
      <c r="G942" s="2">
        <v>8266.41</v>
      </c>
      <c r="H942" t="s">
        <v>35</v>
      </c>
      <c r="I942">
        <v>36</v>
      </c>
    </row>
    <row r="943" spans="1:9" hidden="1" x14ac:dyDescent="0.3">
      <c r="A943" t="s">
        <v>981</v>
      </c>
      <c r="B943" t="s">
        <v>54</v>
      </c>
      <c r="D943" t="s">
        <v>28</v>
      </c>
      <c r="F943" t="s">
        <v>29</v>
      </c>
      <c r="G943" s="2">
        <v>5244.75</v>
      </c>
      <c r="H943" t="s">
        <v>35</v>
      </c>
      <c r="I943">
        <v>15</v>
      </c>
    </row>
    <row r="944" spans="1:9" hidden="1" x14ac:dyDescent="0.3">
      <c r="A944" t="s">
        <v>982</v>
      </c>
      <c r="B944" t="s">
        <v>37</v>
      </c>
      <c r="D944" t="s">
        <v>18</v>
      </c>
      <c r="F944" t="s">
        <v>19</v>
      </c>
      <c r="G944" s="2">
        <v>6848.65</v>
      </c>
      <c r="H944" t="s">
        <v>15</v>
      </c>
      <c r="I944">
        <v>1</v>
      </c>
    </row>
    <row r="945" spans="1:9" hidden="1" x14ac:dyDescent="0.3">
      <c r="A945" t="s">
        <v>983</v>
      </c>
      <c r="B945" t="s">
        <v>27</v>
      </c>
      <c r="D945" t="s">
        <v>24</v>
      </c>
      <c r="F945" t="s">
        <v>25</v>
      </c>
      <c r="G945" s="2">
        <v>6136.66</v>
      </c>
      <c r="H945" t="s">
        <v>11</v>
      </c>
      <c r="I945">
        <v>0</v>
      </c>
    </row>
    <row r="946" spans="1:9" hidden="1" x14ac:dyDescent="0.3">
      <c r="A946" t="s">
        <v>984</v>
      </c>
      <c r="B946" t="s">
        <v>46</v>
      </c>
      <c r="D946" t="s">
        <v>9</v>
      </c>
      <c r="F946" t="s">
        <v>10</v>
      </c>
      <c r="G946" s="2">
        <v>12053.99</v>
      </c>
      <c r="H946" t="s">
        <v>47</v>
      </c>
      <c r="I946">
        <v>57</v>
      </c>
    </row>
    <row r="947" spans="1:9" hidden="1" x14ac:dyDescent="0.3">
      <c r="A947" t="s">
        <v>985</v>
      </c>
      <c r="B947" t="s">
        <v>54</v>
      </c>
      <c r="D947" t="s">
        <v>32</v>
      </c>
      <c r="F947" t="s">
        <v>33</v>
      </c>
      <c r="G947" s="2">
        <v>3789.62</v>
      </c>
      <c r="H947" t="s">
        <v>15</v>
      </c>
      <c r="I947">
        <v>25</v>
      </c>
    </row>
    <row r="948" spans="1:9" x14ac:dyDescent="0.3">
      <c r="A948" t="s">
        <v>986</v>
      </c>
      <c r="B948" t="s">
        <v>52</v>
      </c>
      <c r="D948" t="s">
        <v>40</v>
      </c>
      <c r="F948" t="s">
        <v>41</v>
      </c>
      <c r="G948" s="2">
        <v>11561.01</v>
      </c>
      <c r="H948" t="s">
        <v>35</v>
      </c>
      <c r="I948">
        <v>50</v>
      </c>
    </row>
    <row r="949" spans="1:9" x14ac:dyDescent="0.3">
      <c r="A949" t="s">
        <v>987</v>
      </c>
      <c r="B949" t="s">
        <v>8</v>
      </c>
      <c r="D949" t="s">
        <v>40</v>
      </c>
      <c r="F949" t="s">
        <v>41</v>
      </c>
      <c r="G949" s="2">
        <v>13453.03</v>
      </c>
      <c r="H949" t="s">
        <v>35</v>
      </c>
      <c r="I949">
        <v>31</v>
      </c>
    </row>
    <row r="950" spans="1:9" hidden="1" x14ac:dyDescent="0.3">
      <c r="A950" t="s">
        <v>988</v>
      </c>
      <c r="B950" t="s">
        <v>17</v>
      </c>
      <c r="D950" t="s">
        <v>62</v>
      </c>
      <c r="F950" t="s">
        <v>19</v>
      </c>
      <c r="G950" s="2">
        <v>1059.94</v>
      </c>
      <c r="H950" t="s">
        <v>20</v>
      </c>
      <c r="I950">
        <v>15</v>
      </c>
    </row>
    <row r="951" spans="1:9" hidden="1" x14ac:dyDescent="0.3">
      <c r="A951" t="s">
        <v>989</v>
      </c>
      <c r="B951" t="s">
        <v>22</v>
      </c>
      <c r="D951" t="s">
        <v>28</v>
      </c>
      <c r="F951" t="s">
        <v>29</v>
      </c>
      <c r="G951" s="2">
        <v>6215.77</v>
      </c>
      <c r="H951" t="s">
        <v>15</v>
      </c>
      <c r="I951">
        <v>35</v>
      </c>
    </row>
    <row r="952" spans="1:9" hidden="1" x14ac:dyDescent="0.3">
      <c r="A952" t="s">
        <v>990</v>
      </c>
      <c r="B952" t="s">
        <v>8</v>
      </c>
      <c r="D952" t="s">
        <v>62</v>
      </c>
      <c r="F952" t="s">
        <v>19</v>
      </c>
      <c r="G952" s="2">
        <v>3761.45</v>
      </c>
      <c r="H952" t="s">
        <v>11</v>
      </c>
      <c r="I952">
        <v>0</v>
      </c>
    </row>
    <row r="953" spans="1:9" hidden="1" x14ac:dyDescent="0.3">
      <c r="A953" t="s">
        <v>991</v>
      </c>
      <c r="B953" t="s">
        <v>17</v>
      </c>
      <c r="D953" t="s">
        <v>13</v>
      </c>
      <c r="F953" t="s">
        <v>14</v>
      </c>
      <c r="G953" s="2">
        <v>13974.37</v>
      </c>
      <c r="H953" t="s">
        <v>15</v>
      </c>
      <c r="I953">
        <v>23</v>
      </c>
    </row>
    <row r="954" spans="1:9" hidden="1" x14ac:dyDescent="0.3">
      <c r="A954" t="s">
        <v>992</v>
      </c>
      <c r="B954" t="s">
        <v>17</v>
      </c>
      <c r="D954" t="s">
        <v>32</v>
      </c>
      <c r="F954" t="s">
        <v>33</v>
      </c>
      <c r="G954" s="2">
        <v>4072.68</v>
      </c>
      <c r="H954" t="s">
        <v>47</v>
      </c>
      <c r="I954">
        <v>44</v>
      </c>
    </row>
    <row r="955" spans="1:9" x14ac:dyDescent="0.3">
      <c r="A955" t="s">
        <v>993</v>
      </c>
      <c r="B955" t="s">
        <v>17</v>
      </c>
      <c r="D955" t="s">
        <v>40</v>
      </c>
      <c r="F955" t="s">
        <v>41</v>
      </c>
      <c r="G955" s="2">
        <v>11069.83</v>
      </c>
      <c r="H955" t="s">
        <v>11</v>
      </c>
      <c r="I955">
        <v>0</v>
      </c>
    </row>
    <row r="956" spans="1:9" hidden="1" x14ac:dyDescent="0.3">
      <c r="A956" t="s">
        <v>994</v>
      </c>
      <c r="B956" t="s">
        <v>44</v>
      </c>
      <c r="D956" t="s">
        <v>18</v>
      </c>
      <c r="F956" t="s">
        <v>19</v>
      </c>
      <c r="G956" s="2">
        <v>3081.36</v>
      </c>
      <c r="H956" t="s">
        <v>11</v>
      </c>
      <c r="I956">
        <v>0</v>
      </c>
    </row>
    <row r="957" spans="1:9" hidden="1" x14ac:dyDescent="0.3">
      <c r="A957" t="s">
        <v>995</v>
      </c>
      <c r="B957" t="s">
        <v>54</v>
      </c>
      <c r="D957" t="s">
        <v>9</v>
      </c>
      <c r="F957" t="s">
        <v>10</v>
      </c>
      <c r="G957" s="2">
        <v>1842.18</v>
      </c>
      <c r="H957" t="s">
        <v>11</v>
      </c>
      <c r="I957">
        <v>11</v>
      </c>
    </row>
    <row r="958" spans="1:9" hidden="1" x14ac:dyDescent="0.3">
      <c r="A958" t="s">
        <v>996</v>
      </c>
      <c r="B958" t="s">
        <v>52</v>
      </c>
      <c r="D958" t="s">
        <v>99</v>
      </c>
      <c r="F958" t="s">
        <v>29</v>
      </c>
      <c r="G958" s="2">
        <v>11475.45</v>
      </c>
      <c r="H958" t="s">
        <v>15</v>
      </c>
      <c r="I958">
        <v>3</v>
      </c>
    </row>
    <row r="959" spans="1:9" hidden="1" x14ac:dyDescent="0.3">
      <c r="A959" t="s">
        <v>997</v>
      </c>
      <c r="B959" t="s">
        <v>54</v>
      </c>
      <c r="D959" t="s">
        <v>28</v>
      </c>
      <c r="F959" t="s">
        <v>29</v>
      </c>
      <c r="G959" s="2">
        <v>9328.98</v>
      </c>
      <c r="H959" t="s">
        <v>15</v>
      </c>
      <c r="I959">
        <v>57</v>
      </c>
    </row>
    <row r="960" spans="1:9" hidden="1" x14ac:dyDescent="0.3">
      <c r="A960" t="s">
        <v>998</v>
      </c>
      <c r="B960" t="s">
        <v>46</v>
      </c>
      <c r="D960" t="s">
        <v>62</v>
      </c>
      <c r="F960" t="s">
        <v>19</v>
      </c>
      <c r="G960" s="2">
        <v>7387.54</v>
      </c>
      <c r="H960" t="s">
        <v>47</v>
      </c>
      <c r="I960">
        <v>59</v>
      </c>
    </row>
    <row r="961" spans="1:9" hidden="1" x14ac:dyDescent="0.3">
      <c r="A961" t="s">
        <v>999</v>
      </c>
      <c r="B961" t="s">
        <v>22</v>
      </c>
      <c r="D961" t="s">
        <v>62</v>
      </c>
      <c r="F961" t="s">
        <v>19</v>
      </c>
      <c r="G961" s="2">
        <v>5998.3</v>
      </c>
      <c r="H961" t="s">
        <v>35</v>
      </c>
      <c r="I961">
        <v>9</v>
      </c>
    </row>
    <row r="962" spans="1:9" hidden="1" x14ac:dyDescent="0.3">
      <c r="A962" t="s">
        <v>1000</v>
      </c>
      <c r="B962" t="s">
        <v>22</v>
      </c>
      <c r="D962" t="s">
        <v>13</v>
      </c>
      <c r="F962" t="s">
        <v>14</v>
      </c>
      <c r="G962" s="2">
        <v>11999.09</v>
      </c>
      <c r="H962" t="s">
        <v>15</v>
      </c>
      <c r="I962">
        <v>35</v>
      </c>
    </row>
    <row r="963" spans="1:9" hidden="1" x14ac:dyDescent="0.3">
      <c r="A963" t="s">
        <v>1001</v>
      </c>
      <c r="B963" t="s">
        <v>44</v>
      </c>
      <c r="D963" t="s">
        <v>13</v>
      </c>
      <c r="F963" t="s">
        <v>14</v>
      </c>
      <c r="G963" s="2">
        <v>5241.97</v>
      </c>
      <c r="H963" t="s">
        <v>35</v>
      </c>
      <c r="I963">
        <v>50</v>
      </c>
    </row>
    <row r="964" spans="1:9" x14ac:dyDescent="0.3">
      <c r="A964" t="s">
        <v>1002</v>
      </c>
      <c r="B964" t="s">
        <v>27</v>
      </c>
      <c r="D964" t="s">
        <v>40</v>
      </c>
      <c r="F964" t="s">
        <v>41</v>
      </c>
      <c r="G964" s="2">
        <v>14648.78</v>
      </c>
      <c r="H964" t="s">
        <v>20</v>
      </c>
      <c r="I964">
        <v>30</v>
      </c>
    </row>
    <row r="965" spans="1:9" hidden="1" x14ac:dyDescent="0.3">
      <c r="A965" t="s">
        <v>1003</v>
      </c>
      <c r="B965" t="s">
        <v>27</v>
      </c>
      <c r="D965" t="s">
        <v>99</v>
      </c>
      <c r="F965" t="s">
        <v>29</v>
      </c>
      <c r="G965" s="2">
        <v>226.71</v>
      </c>
      <c r="H965" t="s">
        <v>11</v>
      </c>
      <c r="I965">
        <v>0</v>
      </c>
    </row>
    <row r="966" spans="1:9" hidden="1" x14ac:dyDescent="0.3">
      <c r="A966" t="s">
        <v>1004</v>
      </c>
      <c r="B966" t="s">
        <v>17</v>
      </c>
      <c r="D966" t="s">
        <v>28</v>
      </c>
      <c r="F966" t="s">
        <v>29</v>
      </c>
      <c r="G966" s="2">
        <v>9211.0300000000007</v>
      </c>
      <c r="H966" t="s">
        <v>11</v>
      </c>
      <c r="I966">
        <v>0</v>
      </c>
    </row>
    <row r="967" spans="1:9" hidden="1" x14ac:dyDescent="0.3">
      <c r="A967" t="s">
        <v>1005</v>
      </c>
      <c r="B967" t="s">
        <v>44</v>
      </c>
      <c r="D967" t="s">
        <v>62</v>
      </c>
      <c r="F967" t="s">
        <v>19</v>
      </c>
      <c r="G967" s="2">
        <v>7096.61</v>
      </c>
      <c r="H967" t="s">
        <v>20</v>
      </c>
      <c r="I967">
        <v>24</v>
      </c>
    </row>
    <row r="968" spans="1:9" x14ac:dyDescent="0.3">
      <c r="A968" t="s">
        <v>1006</v>
      </c>
      <c r="B968" t="s">
        <v>27</v>
      </c>
      <c r="D968" t="s">
        <v>40</v>
      </c>
      <c r="F968" t="s">
        <v>41</v>
      </c>
      <c r="G968" s="2">
        <v>6387.95</v>
      </c>
      <c r="H968" t="s">
        <v>15</v>
      </c>
      <c r="I968">
        <v>49</v>
      </c>
    </row>
    <row r="969" spans="1:9" hidden="1" x14ac:dyDescent="0.3">
      <c r="A969" t="s">
        <v>1007</v>
      </c>
      <c r="B969" t="s">
        <v>54</v>
      </c>
      <c r="D969" t="s">
        <v>28</v>
      </c>
      <c r="F969" t="s">
        <v>29</v>
      </c>
      <c r="G969" s="2">
        <v>12822.18</v>
      </c>
      <c r="H969" t="s">
        <v>11</v>
      </c>
      <c r="I969">
        <v>0</v>
      </c>
    </row>
    <row r="970" spans="1:9" hidden="1" x14ac:dyDescent="0.3">
      <c r="A970" t="s">
        <v>1008</v>
      </c>
      <c r="B970" t="s">
        <v>17</v>
      </c>
      <c r="D970" t="s">
        <v>18</v>
      </c>
      <c r="F970" t="s">
        <v>19</v>
      </c>
      <c r="G970" s="2">
        <v>12222.15</v>
      </c>
      <c r="H970" t="s">
        <v>35</v>
      </c>
      <c r="I970">
        <v>52</v>
      </c>
    </row>
    <row r="971" spans="1:9" hidden="1" x14ac:dyDescent="0.3">
      <c r="A971" t="s">
        <v>1009</v>
      </c>
      <c r="B971" t="s">
        <v>44</v>
      </c>
      <c r="D971" t="s">
        <v>13</v>
      </c>
      <c r="F971" t="s">
        <v>14</v>
      </c>
      <c r="G971" s="2">
        <v>6511.67</v>
      </c>
      <c r="H971" t="s">
        <v>15</v>
      </c>
      <c r="I971">
        <v>10</v>
      </c>
    </row>
    <row r="972" spans="1:9" x14ac:dyDescent="0.3">
      <c r="A972" t="s">
        <v>1010</v>
      </c>
      <c r="B972" t="s">
        <v>46</v>
      </c>
      <c r="D972" t="s">
        <v>40</v>
      </c>
      <c r="F972" t="s">
        <v>41</v>
      </c>
      <c r="G972" s="2">
        <v>12094.74</v>
      </c>
      <c r="H972" t="s">
        <v>11</v>
      </c>
      <c r="I972">
        <v>0</v>
      </c>
    </row>
    <row r="973" spans="1:9" hidden="1" x14ac:dyDescent="0.3">
      <c r="A973" t="s">
        <v>1011</v>
      </c>
      <c r="B973" t="s">
        <v>37</v>
      </c>
      <c r="D973" t="s">
        <v>13</v>
      </c>
      <c r="F973" t="s">
        <v>14</v>
      </c>
      <c r="G973" s="2">
        <v>10822.38</v>
      </c>
      <c r="H973" t="s">
        <v>35</v>
      </c>
      <c r="I973">
        <v>20</v>
      </c>
    </row>
    <row r="974" spans="1:9" hidden="1" x14ac:dyDescent="0.3">
      <c r="A974" t="s">
        <v>1012</v>
      </c>
      <c r="B974" t="s">
        <v>22</v>
      </c>
      <c r="D974" t="s">
        <v>13</v>
      </c>
      <c r="F974" t="s">
        <v>14</v>
      </c>
      <c r="G974" s="2">
        <v>12884.6</v>
      </c>
      <c r="H974" t="s">
        <v>11</v>
      </c>
      <c r="I974">
        <v>0</v>
      </c>
    </row>
    <row r="975" spans="1:9" hidden="1" x14ac:dyDescent="0.3">
      <c r="A975" t="s">
        <v>1013</v>
      </c>
      <c r="B975" t="s">
        <v>8</v>
      </c>
      <c r="D975" t="s">
        <v>18</v>
      </c>
      <c r="F975" t="s">
        <v>19</v>
      </c>
      <c r="G975" s="2">
        <v>12216.58</v>
      </c>
      <c r="H975" t="s">
        <v>15</v>
      </c>
      <c r="I975">
        <v>41</v>
      </c>
    </row>
    <row r="976" spans="1:9" x14ac:dyDescent="0.3">
      <c r="A976" t="s">
        <v>1014</v>
      </c>
      <c r="B976" t="s">
        <v>27</v>
      </c>
      <c r="D976" t="s">
        <v>40</v>
      </c>
      <c r="F976" t="s">
        <v>41</v>
      </c>
      <c r="G976" s="2">
        <v>11181.67</v>
      </c>
      <c r="H976" t="s">
        <v>11</v>
      </c>
      <c r="I976">
        <v>0</v>
      </c>
    </row>
    <row r="977" spans="1:9" hidden="1" x14ac:dyDescent="0.3">
      <c r="A977" t="s">
        <v>1015</v>
      </c>
      <c r="B977" t="s">
        <v>54</v>
      </c>
      <c r="D977" t="s">
        <v>99</v>
      </c>
      <c r="F977" t="s">
        <v>29</v>
      </c>
      <c r="G977" s="2">
        <v>6205.83</v>
      </c>
      <c r="H977" t="s">
        <v>15</v>
      </c>
      <c r="I977">
        <v>44</v>
      </c>
    </row>
    <row r="978" spans="1:9" hidden="1" x14ac:dyDescent="0.3">
      <c r="A978" t="s">
        <v>1016</v>
      </c>
      <c r="B978" t="s">
        <v>44</v>
      </c>
      <c r="D978" t="s">
        <v>18</v>
      </c>
      <c r="F978" t="s">
        <v>19</v>
      </c>
      <c r="G978" s="2">
        <v>8673.9599999999991</v>
      </c>
      <c r="H978" t="s">
        <v>20</v>
      </c>
      <c r="I978">
        <v>35</v>
      </c>
    </row>
    <row r="979" spans="1:9" hidden="1" x14ac:dyDescent="0.3">
      <c r="A979" t="s">
        <v>1017</v>
      </c>
      <c r="B979" t="s">
        <v>52</v>
      </c>
      <c r="D979" t="s">
        <v>62</v>
      </c>
      <c r="F979" t="s">
        <v>19</v>
      </c>
      <c r="G979" s="2">
        <v>5358.88</v>
      </c>
      <c r="H979" t="s">
        <v>20</v>
      </c>
      <c r="I979">
        <v>32</v>
      </c>
    </row>
    <row r="980" spans="1:9" hidden="1" x14ac:dyDescent="0.3">
      <c r="A980" t="s">
        <v>1018</v>
      </c>
      <c r="B980" t="s">
        <v>44</v>
      </c>
      <c r="D980" t="s">
        <v>9</v>
      </c>
      <c r="F980" t="s">
        <v>10</v>
      </c>
      <c r="G980" s="2">
        <v>5747.01</v>
      </c>
      <c r="H980" t="s">
        <v>15</v>
      </c>
      <c r="I980">
        <v>41</v>
      </c>
    </row>
    <row r="981" spans="1:9" hidden="1" x14ac:dyDescent="0.3">
      <c r="A981" t="s">
        <v>1019</v>
      </c>
      <c r="B981" t="s">
        <v>54</v>
      </c>
      <c r="D981" t="s">
        <v>24</v>
      </c>
      <c r="F981" t="s">
        <v>25</v>
      </c>
      <c r="G981" s="2">
        <v>9626.68</v>
      </c>
      <c r="H981" t="s">
        <v>47</v>
      </c>
      <c r="I981">
        <v>27</v>
      </c>
    </row>
    <row r="982" spans="1:9" hidden="1" x14ac:dyDescent="0.3">
      <c r="A982" t="s">
        <v>1020</v>
      </c>
      <c r="B982" t="s">
        <v>44</v>
      </c>
      <c r="D982" t="s">
        <v>32</v>
      </c>
      <c r="F982" t="s">
        <v>33</v>
      </c>
      <c r="G982" s="2">
        <v>6101.35</v>
      </c>
      <c r="H982" t="s">
        <v>47</v>
      </c>
      <c r="I982">
        <v>6</v>
      </c>
    </row>
    <row r="983" spans="1:9" hidden="1" x14ac:dyDescent="0.3">
      <c r="A983" t="s">
        <v>1021</v>
      </c>
      <c r="B983" t="s">
        <v>37</v>
      </c>
      <c r="D983" t="s">
        <v>28</v>
      </c>
      <c r="F983" t="s">
        <v>29</v>
      </c>
      <c r="G983" s="2">
        <v>3461.86</v>
      </c>
      <c r="H983" t="s">
        <v>15</v>
      </c>
      <c r="I983">
        <v>19</v>
      </c>
    </row>
    <row r="984" spans="1:9" hidden="1" x14ac:dyDescent="0.3">
      <c r="A984" t="s">
        <v>1022</v>
      </c>
      <c r="B984" t="s">
        <v>54</v>
      </c>
      <c r="D984" t="s">
        <v>32</v>
      </c>
      <c r="F984" t="s">
        <v>33</v>
      </c>
      <c r="G984" s="2">
        <v>9687.43</v>
      </c>
      <c r="H984" t="s">
        <v>11</v>
      </c>
      <c r="I984">
        <v>0</v>
      </c>
    </row>
    <row r="985" spans="1:9" hidden="1" x14ac:dyDescent="0.3">
      <c r="A985" t="s">
        <v>1023</v>
      </c>
      <c r="B985" t="s">
        <v>22</v>
      </c>
      <c r="D985" t="s">
        <v>13</v>
      </c>
      <c r="F985" t="s">
        <v>14</v>
      </c>
      <c r="G985" s="2">
        <v>14484.61</v>
      </c>
      <c r="H985" t="s">
        <v>15</v>
      </c>
      <c r="I985">
        <v>12</v>
      </c>
    </row>
    <row r="986" spans="1:9" hidden="1" x14ac:dyDescent="0.3">
      <c r="A986" t="s">
        <v>1024</v>
      </c>
      <c r="B986" t="s">
        <v>8</v>
      </c>
      <c r="D986" t="s">
        <v>24</v>
      </c>
      <c r="F986" t="s">
        <v>25</v>
      </c>
      <c r="G986" s="2">
        <v>10930.2</v>
      </c>
      <c r="H986" t="s">
        <v>20</v>
      </c>
      <c r="I986">
        <v>48</v>
      </c>
    </row>
    <row r="987" spans="1:9" hidden="1" x14ac:dyDescent="0.3">
      <c r="A987" t="s">
        <v>1025</v>
      </c>
      <c r="B987" t="s">
        <v>46</v>
      </c>
      <c r="D987" t="s">
        <v>18</v>
      </c>
      <c r="F987" t="s">
        <v>19</v>
      </c>
      <c r="G987" s="2">
        <v>2545.31</v>
      </c>
      <c r="H987" t="s">
        <v>11</v>
      </c>
      <c r="I987">
        <v>2</v>
      </c>
    </row>
    <row r="988" spans="1:9" hidden="1" x14ac:dyDescent="0.3">
      <c r="A988" t="s">
        <v>1026</v>
      </c>
      <c r="B988" t="s">
        <v>8</v>
      </c>
      <c r="D988" t="s">
        <v>99</v>
      </c>
      <c r="F988" t="s">
        <v>29</v>
      </c>
      <c r="G988" s="2">
        <v>444.16</v>
      </c>
      <c r="H988" t="s">
        <v>15</v>
      </c>
      <c r="I988">
        <v>49</v>
      </c>
    </row>
    <row r="989" spans="1:9" hidden="1" x14ac:dyDescent="0.3">
      <c r="A989" t="s">
        <v>1027</v>
      </c>
      <c r="B989" t="s">
        <v>37</v>
      </c>
      <c r="D989" t="s">
        <v>9</v>
      </c>
      <c r="F989" t="s">
        <v>10</v>
      </c>
      <c r="G989" s="2">
        <v>3973.66</v>
      </c>
      <c r="H989" t="s">
        <v>11</v>
      </c>
      <c r="I989">
        <v>11</v>
      </c>
    </row>
    <row r="990" spans="1:9" hidden="1" x14ac:dyDescent="0.3">
      <c r="A990" t="s">
        <v>1028</v>
      </c>
      <c r="B990" t="s">
        <v>44</v>
      </c>
      <c r="D990" t="s">
        <v>18</v>
      </c>
      <c r="F990" t="s">
        <v>19</v>
      </c>
      <c r="G990" s="2">
        <v>3748.58</v>
      </c>
      <c r="H990" t="s">
        <v>15</v>
      </c>
      <c r="I990">
        <v>41</v>
      </c>
    </row>
    <row r="991" spans="1:9" hidden="1" x14ac:dyDescent="0.3">
      <c r="A991" t="s">
        <v>1029</v>
      </c>
      <c r="B991" t="s">
        <v>27</v>
      </c>
      <c r="D991" t="s">
        <v>24</v>
      </c>
      <c r="F991" t="s">
        <v>25</v>
      </c>
      <c r="G991" s="2">
        <v>7924.8</v>
      </c>
      <c r="H991" t="s">
        <v>11</v>
      </c>
      <c r="I991">
        <v>0</v>
      </c>
    </row>
    <row r="992" spans="1:9" x14ac:dyDescent="0.3">
      <c r="A992" t="s">
        <v>1030</v>
      </c>
      <c r="B992" t="s">
        <v>37</v>
      </c>
      <c r="D992" t="s">
        <v>40</v>
      </c>
      <c r="F992" t="s">
        <v>41</v>
      </c>
      <c r="G992" s="2">
        <v>7034.54</v>
      </c>
      <c r="H992" t="s">
        <v>35</v>
      </c>
      <c r="I992">
        <v>60</v>
      </c>
    </row>
    <row r="993" spans="1:9" hidden="1" x14ac:dyDescent="0.3">
      <c r="A993" t="s">
        <v>1031</v>
      </c>
      <c r="B993" t="s">
        <v>46</v>
      </c>
      <c r="D993" t="s">
        <v>13</v>
      </c>
      <c r="F993" t="s">
        <v>14</v>
      </c>
      <c r="G993" s="2">
        <v>6700.43</v>
      </c>
      <c r="H993" t="s">
        <v>47</v>
      </c>
      <c r="I993">
        <v>45</v>
      </c>
    </row>
    <row r="994" spans="1:9" hidden="1" x14ac:dyDescent="0.3">
      <c r="A994" t="s">
        <v>1032</v>
      </c>
      <c r="B994" t="s">
        <v>54</v>
      </c>
      <c r="D994" t="s">
        <v>24</v>
      </c>
      <c r="F994" t="s">
        <v>25</v>
      </c>
      <c r="G994" s="2">
        <v>8882.92</v>
      </c>
      <c r="H994" t="s">
        <v>15</v>
      </c>
      <c r="I994">
        <v>48</v>
      </c>
    </row>
    <row r="995" spans="1:9" hidden="1" x14ac:dyDescent="0.3">
      <c r="A995" t="s">
        <v>1033</v>
      </c>
      <c r="B995" t="s">
        <v>27</v>
      </c>
      <c r="D995" t="s">
        <v>56</v>
      </c>
      <c r="F995" t="s">
        <v>57</v>
      </c>
      <c r="G995" s="2">
        <v>7875.72</v>
      </c>
      <c r="H995" t="s">
        <v>20</v>
      </c>
      <c r="I995">
        <v>20</v>
      </c>
    </row>
    <row r="996" spans="1:9" x14ac:dyDescent="0.3">
      <c r="A996" t="s">
        <v>1034</v>
      </c>
      <c r="B996" t="s">
        <v>37</v>
      </c>
      <c r="D996" t="s">
        <v>40</v>
      </c>
      <c r="F996" t="s">
        <v>41</v>
      </c>
      <c r="G996" s="2">
        <v>8118.04</v>
      </c>
      <c r="H996" t="s">
        <v>35</v>
      </c>
      <c r="I996">
        <v>29</v>
      </c>
    </row>
    <row r="997" spans="1:9" hidden="1" x14ac:dyDescent="0.3">
      <c r="A997" t="s">
        <v>1035</v>
      </c>
      <c r="B997" t="s">
        <v>46</v>
      </c>
      <c r="D997" t="s">
        <v>28</v>
      </c>
      <c r="F997" t="s">
        <v>29</v>
      </c>
      <c r="G997" s="2">
        <v>6212.45</v>
      </c>
      <c r="H997" t="s">
        <v>11</v>
      </c>
      <c r="I997">
        <v>0</v>
      </c>
    </row>
    <row r="998" spans="1:9" hidden="1" x14ac:dyDescent="0.3">
      <c r="A998" t="s">
        <v>1036</v>
      </c>
      <c r="B998" t="s">
        <v>52</v>
      </c>
      <c r="D998" t="s">
        <v>24</v>
      </c>
      <c r="F998" t="s">
        <v>25</v>
      </c>
      <c r="G998" s="2">
        <v>5191.08</v>
      </c>
      <c r="H998" t="s">
        <v>15</v>
      </c>
      <c r="I998">
        <v>1</v>
      </c>
    </row>
    <row r="999" spans="1:9" x14ac:dyDescent="0.3">
      <c r="A999" t="s">
        <v>1037</v>
      </c>
      <c r="B999" t="s">
        <v>37</v>
      </c>
      <c r="D999" t="s">
        <v>40</v>
      </c>
      <c r="F999" t="s">
        <v>41</v>
      </c>
      <c r="G999" s="2">
        <v>4529.18</v>
      </c>
      <c r="H999" t="s">
        <v>35</v>
      </c>
      <c r="I999">
        <v>52</v>
      </c>
    </row>
    <row r="1000" spans="1:9" hidden="1" x14ac:dyDescent="0.3">
      <c r="A1000" t="s">
        <v>1038</v>
      </c>
      <c r="B1000" t="s">
        <v>31</v>
      </c>
      <c r="D1000" t="s">
        <v>32</v>
      </c>
      <c r="F1000" t="s">
        <v>33</v>
      </c>
      <c r="G1000" s="2">
        <v>3506.67</v>
      </c>
      <c r="H1000" t="s">
        <v>11</v>
      </c>
      <c r="I1000">
        <v>0</v>
      </c>
    </row>
    <row r="1001" spans="1:9" hidden="1" x14ac:dyDescent="0.3">
      <c r="A1001" t="s">
        <v>1039</v>
      </c>
      <c r="B1001" t="s">
        <v>31</v>
      </c>
      <c r="D1001" t="s">
        <v>13</v>
      </c>
      <c r="F1001" t="s">
        <v>14</v>
      </c>
      <c r="G1001" s="2">
        <v>6584.74</v>
      </c>
      <c r="H1001" t="s">
        <v>11</v>
      </c>
      <c r="I1001">
        <v>12</v>
      </c>
    </row>
    <row r="1002" spans="1:9" hidden="1" x14ac:dyDescent="0.3">
      <c r="A1002" t="s">
        <v>1040</v>
      </c>
      <c r="B1002" t="s">
        <v>46</v>
      </c>
      <c r="D1002" t="s">
        <v>18</v>
      </c>
      <c r="F1002" t="s">
        <v>19</v>
      </c>
      <c r="G1002" s="2">
        <v>3981.56</v>
      </c>
      <c r="H1002" t="s">
        <v>15</v>
      </c>
      <c r="I1002">
        <v>16</v>
      </c>
    </row>
    <row r="1003" spans="1:9" hidden="1" x14ac:dyDescent="0.3">
      <c r="A1003" t="s">
        <v>1041</v>
      </c>
      <c r="B1003" t="s">
        <v>46</v>
      </c>
      <c r="D1003" t="s">
        <v>32</v>
      </c>
      <c r="F1003" t="s">
        <v>33</v>
      </c>
      <c r="G1003" s="2">
        <v>12123.25</v>
      </c>
      <c r="H1003" t="s">
        <v>20</v>
      </c>
      <c r="I1003">
        <v>19</v>
      </c>
    </row>
    <row r="1004" spans="1:9" hidden="1" x14ac:dyDescent="0.3">
      <c r="A1004" t="s">
        <v>1042</v>
      </c>
      <c r="B1004" t="s">
        <v>44</v>
      </c>
      <c r="D1004" t="s">
        <v>62</v>
      </c>
      <c r="F1004" t="s">
        <v>19</v>
      </c>
      <c r="G1004" s="2">
        <v>6222.91</v>
      </c>
      <c r="H1004" t="s">
        <v>35</v>
      </c>
      <c r="I1004">
        <v>12</v>
      </c>
    </row>
    <row r="1005" spans="1:9" hidden="1" x14ac:dyDescent="0.3">
      <c r="A1005" t="s">
        <v>1043</v>
      </c>
      <c r="B1005" t="s">
        <v>37</v>
      </c>
      <c r="D1005" t="s">
        <v>62</v>
      </c>
      <c r="F1005" t="s">
        <v>19</v>
      </c>
      <c r="G1005" s="2">
        <v>1699.83</v>
      </c>
      <c r="H1005" t="s">
        <v>15</v>
      </c>
      <c r="I1005">
        <v>29</v>
      </c>
    </row>
    <row r="1006" spans="1:9" hidden="1" x14ac:dyDescent="0.3">
      <c r="A1006" t="s">
        <v>1044</v>
      </c>
      <c r="B1006" t="s">
        <v>22</v>
      </c>
      <c r="D1006" t="s">
        <v>32</v>
      </c>
      <c r="F1006" t="s">
        <v>33</v>
      </c>
      <c r="G1006" s="2">
        <v>7405.34</v>
      </c>
      <c r="H1006" t="s">
        <v>15</v>
      </c>
      <c r="I1006">
        <v>10</v>
      </c>
    </row>
    <row r="1007" spans="1:9" hidden="1" x14ac:dyDescent="0.3">
      <c r="A1007" t="s">
        <v>1045</v>
      </c>
      <c r="B1007" t="s">
        <v>37</v>
      </c>
      <c r="D1007" t="s">
        <v>13</v>
      </c>
      <c r="F1007" t="s">
        <v>14</v>
      </c>
      <c r="G1007" s="2">
        <v>380.86</v>
      </c>
      <c r="H1007" t="s">
        <v>47</v>
      </c>
      <c r="I1007">
        <v>19</v>
      </c>
    </row>
    <row r="1008" spans="1:9" hidden="1" x14ac:dyDescent="0.3">
      <c r="A1008" t="s">
        <v>1046</v>
      </c>
      <c r="B1008" t="s">
        <v>8</v>
      </c>
      <c r="D1008" t="s">
        <v>24</v>
      </c>
      <c r="F1008" t="s">
        <v>25</v>
      </c>
      <c r="G1008" s="2">
        <v>10742.18</v>
      </c>
      <c r="H1008" t="s">
        <v>35</v>
      </c>
      <c r="I1008">
        <v>15</v>
      </c>
    </row>
    <row r="1009" spans="1:9" hidden="1" x14ac:dyDescent="0.3">
      <c r="A1009" t="s">
        <v>1047</v>
      </c>
      <c r="B1009" t="s">
        <v>52</v>
      </c>
      <c r="D1009" t="s">
        <v>24</v>
      </c>
      <c r="F1009" t="s">
        <v>25</v>
      </c>
      <c r="G1009" s="2">
        <v>270.14</v>
      </c>
      <c r="H1009" t="s">
        <v>11</v>
      </c>
      <c r="I1009">
        <v>0</v>
      </c>
    </row>
    <row r="1010" spans="1:9" hidden="1" x14ac:dyDescent="0.3">
      <c r="A1010" t="s">
        <v>1048</v>
      </c>
      <c r="B1010" t="s">
        <v>8</v>
      </c>
      <c r="D1010" t="s">
        <v>28</v>
      </c>
      <c r="F1010" t="s">
        <v>29</v>
      </c>
      <c r="G1010" s="2">
        <v>6982.08</v>
      </c>
      <c r="H1010" t="s">
        <v>35</v>
      </c>
      <c r="I1010">
        <v>22</v>
      </c>
    </row>
    <row r="1011" spans="1:9" hidden="1" x14ac:dyDescent="0.3">
      <c r="A1011" t="s">
        <v>1049</v>
      </c>
      <c r="B1011" t="s">
        <v>46</v>
      </c>
      <c r="D1011" t="s">
        <v>24</v>
      </c>
      <c r="F1011" t="s">
        <v>25</v>
      </c>
      <c r="G1011" s="2">
        <v>887.77</v>
      </c>
      <c r="H1011" t="s">
        <v>35</v>
      </c>
      <c r="I1011">
        <v>5</v>
      </c>
    </row>
    <row r="1012" spans="1:9" x14ac:dyDescent="0.3">
      <c r="A1012" t="s">
        <v>1050</v>
      </c>
      <c r="B1012" t="s">
        <v>31</v>
      </c>
      <c r="D1012" t="s">
        <v>40</v>
      </c>
      <c r="F1012" t="s">
        <v>41</v>
      </c>
      <c r="G1012" s="2">
        <v>2764.98</v>
      </c>
      <c r="H1012" t="s">
        <v>47</v>
      </c>
      <c r="I1012">
        <v>17</v>
      </c>
    </row>
    <row r="1013" spans="1:9" hidden="1" x14ac:dyDescent="0.3">
      <c r="A1013" t="s">
        <v>1051</v>
      </c>
      <c r="B1013" t="s">
        <v>31</v>
      </c>
      <c r="D1013" t="s">
        <v>99</v>
      </c>
      <c r="F1013" t="s">
        <v>29</v>
      </c>
      <c r="G1013" s="2">
        <v>1873.33</v>
      </c>
      <c r="H1013" t="s">
        <v>35</v>
      </c>
      <c r="I1013">
        <v>16</v>
      </c>
    </row>
    <row r="1014" spans="1:9" x14ac:dyDescent="0.3">
      <c r="A1014" t="s">
        <v>1052</v>
      </c>
      <c r="B1014" t="s">
        <v>52</v>
      </c>
      <c r="D1014" t="s">
        <v>40</v>
      </c>
      <c r="F1014" t="s">
        <v>41</v>
      </c>
      <c r="G1014" s="2">
        <v>3745.07</v>
      </c>
      <c r="H1014" t="s">
        <v>47</v>
      </c>
      <c r="I1014">
        <v>13</v>
      </c>
    </row>
    <row r="1015" spans="1:9" hidden="1" x14ac:dyDescent="0.3">
      <c r="A1015" t="s">
        <v>1053</v>
      </c>
      <c r="B1015" t="s">
        <v>31</v>
      </c>
      <c r="D1015" t="s">
        <v>9</v>
      </c>
      <c r="F1015" t="s">
        <v>10</v>
      </c>
      <c r="G1015" s="2">
        <v>7841.03</v>
      </c>
      <c r="H1015" t="s">
        <v>47</v>
      </c>
      <c r="I1015">
        <v>31</v>
      </c>
    </row>
    <row r="1016" spans="1:9" hidden="1" x14ac:dyDescent="0.3">
      <c r="A1016" t="s">
        <v>1054</v>
      </c>
      <c r="B1016" t="s">
        <v>46</v>
      </c>
      <c r="D1016" t="s">
        <v>62</v>
      </c>
      <c r="F1016" t="s">
        <v>19</v>
      </c>
      <c r="G1016" s="2">
        <v>14046.42</v>
      </c>
      <c r="H1016" t="s">
        <v>11</v>
      </c>
      <c r="I1016">
        <v>0</v>
      </c>
    </row>
    <row r="1017" spans="1:9" hidden="1" x14ac:dyDescent="0.3">
      <c r="A1017" t="s">
        <v>1055</v>
      </c>
      <c r="B1017" t="s">
        <v>17</v>
      </c>
      <c r="D1017" t="s">
        <v>13</v>
      </c>
      <c r="F1017" t="s">
        <v>14</v>
      </c>
      <c r="G1017" s="2">
        <v>1876.02</v>
      </c>
      <c r="H1017" t="s">
        <v>15</v>
      </c>
      <c r="I1017">
        <v>20</v>
      </c>
    </row>
    <row r="1018" spans="1:9" hidden="1" x14ac:dyDescent="0.3">
      <c r="A1018" t="s">
        <v>1056</v>
      </c>
      <c r="B1018" t="s">
        <v>8</v>
      </c>
      <c r="D1018" t="s">
        <v>28</v>
      </c>
      <c r="F1018" t="s">
        <v>29</v>
      </c>
      <c r="G1018" s="2">
        <v>13318.42</v>
      </c>
      <c r="H1018" t="s">
        <v>35</v>
      </c>
      <c r="I1018">
        <v>14</v>
      </c>
    </row>
    <row r="1019" spans="1:9" hidden="1" x14ac:dyDescent="0.3">
      <c r="A1019" t="s">
        <v>1057</v>
      </c>
      <c r="B1019" t="s">
        <v>37</v>
      </c>
      <c r="D1019" t="s">
        <v>18</v>
      </c>
      <c r="F1019" t="s">
        <v>19</v>
      </c>
      <c r="G1019" s="2">
        <v>9511.99</v>
      </c>
      <c r="H1019" t="s">
        <v>15</v>
      </c>
      <c r="I1019">
        <v>11</v>
      </c>
    </row>
    <row r="1020" spans="1:9" hidden="1" x14ac:dyDescent="0.3">
      <c r="A1020" t="s">
        <v>1058</v>
      </c>
      <c r="B1020" t="s">
        <v>22</v>
      </c>
      <c r="D1020" t="s">
        <v>32</v>
      </c>
      <c r="F1020" t="s">
        <v>33</v>
      </c>
      <c r="G1020" s="2">
        <v>1838.76</v>
      </c>
      <c r="H1020" t="s">
        <v>35</v>
      </c>
      <c r="I1020">
        <v>1</v>
      </c>
    </row>
    <row r="1021" spans="1:9" hidden="1" x14ac:dyDescent="0.3">
      <c r="A1021" t="s">
        <v>1059</v>
      </c>
      <c r="B1021" t="s">
        <v>44</v>
      </c>
      <c r="D1021" t="s">
        <v>32</v>
      </c>
      <c r="F1021" t="s">
        <v>33</v>
      </c>
      <c r="G1021" s="2">
        <v>11762.95</v>
      </c>
      <c r="H1021" t="s">
        <v>15</v>
      </c>
      <c r="I1021">
        <v>39</v>
      </c>
    </row>
    <row r="1022" spans="1:9" hidden="1" x14ac:dyDescent="0.3">
      <c r="A1022" t="s">
        <v>1060</v>
      </c>
      <c r="B1022" t="s">
        <v>54</v>
      </c>
      <c r="D1022" t="s">
        <v>28</v>
      </c>
      <c r="F1022" t="s">
        <v>29</v>
      </c>
      <c r="G1022" s="2">
        <v>11573.42</v>
      </c>
      <c r="H1022" t="s">
        <v>11</v>
      </c>
      <c r="I1022">
        <v>0</v>
      </c>
    </row>
    <row r="1023" spans="1:9" hidden="1" x14ac:dyDescent="0.3">
      <c r="A1023" t="s">
        <v>1061</v>
      </c>
      <c r="B1023" t="s">
        <v>22</v>
      </c>
      <c r="D1023" t="s">
        <v>28</v>
      </c>
      <c r="F1023" t="s">
        <v>29</v>
      </c>
      <c r="G1023" s="2">
        <v>13966.19</v>
      </c>
      <c r="H1023" t="s">
        <v>47</v>
      </c>
      <c r="I1023">
        <v>41</v>
      </c>
    </row>
    <row r="1024" spans="1:9" hidden="1" x14ac:dyDescent="0.3">
      <c r="A1024" t="s">
        <v>1062</v>
      </c>
      <c r="B1024" t="s">
        <v>44</v>
      </c>
      <c r="D1024" t="s">
        <v>99</v>
      </c>
      <c r="F1024" t="s">
        <v>29</v>
      </c>
      <c r="G1024" s="2">
        <v>5364.99</v>
      </c>
      <c r="H1024" t="s">
        <v>11</v>
      </c>
      <c r="I1024">
        <v>0</v>
      </c>
    </row>
    <row r="1025" spans="1:9" x14ac:dyDescent="0.3">
      <c r="A1025" t="s">
        <v>1063</v>
      </c>
      <c r="B1025" t="s">
        <v>27</v>
      </c>
      <c r="D1025" t="s">
        <v>40</v>
      </c>
      <c r="F1025" t="s">
        <v>41</v>
      </c>
      <c r="G1025" s="2">
        <v>3528.49</v>
      </c>
      <c r="H1025" t="s">
        <v>47</v>
      </c>
      <c r="I1025">
        <v>51</v>
      </c>
    </row>
    <row r="1026" spans="1:9" x14ac:dyDescent="0.3">
      <c r="A1026" t="s">
        <v>1064</v>
      </c>
      <c r="B1026" t="s">
        <v>44</v>
      </c>
      <c r="D1026" t="s">
        <v>40</v>
      </c>
      <c r="F1026" t="s">
        <v>41</v>
      </c>
      <c r="G1026" s="2">
        <v>11011.17</v>
      </c>
      <c r="H1026" t="s">
        <v>11</v>
      </c>
      <c r="I1026">
        <v>0</v>
      </c>
    </row>
    <row r="1027" spans="1:9" hidden="1" x14ac:dyDescent="0.3">
      <c r="A1027" t="s">
        <v>1065</v>
      </c>
      <c r="B1027" t="s">
        <v>46</v>
      </c>
      <c r="D1027" t="s">
        <v>62</v>
      </c>
      <c r="F1027" t="s">
        <v>19</v>
      </c>
      <c r="G1027" s="2">
        <v>13485.01</v>
      </c>
      <c r="H1027" t="s">
        <v>15</v>
      </c>
      <c r="I1027">
        <v>29</v>
      </c>
    </row>
    <row r="1028" spans="1:9" hidden="1" x14ac:dyDescent="0.3">
      <c r="A1028" t="s">
        <v>1066</v>
      </c>
      <c r="B1028" t="s">
        <v>44</v>
      </c>
      <c r="D1028" t="s">
        <v>62</v>
      </c>
      <c r="F1028" t="s">
        <v>19</v>
      </c>
      <c r="G1028" s="2">
        <v>8163.87</v>
      </c>
      <c r="H1028" t="s">
        <v>15</v>
      </c>
      <c r="I1028">
        <v>37</v>
      </c>
    </row>
    <row r="1029" spans="1:9" hidden="1" x14ac:dyDescent="0.3">
      <c r="A1029" t="s">
        <v>1067</v>
      </c>
      <c r="B1029" t="s">
        <v>54</v>
      </c>
      <c r="D1029" t="s">
        <v>13</v>
      </c>
      <c r="F1029" t="s">
        <v>14</v>
      </c>
      <c r="G1029" s="2">
        <v>5247.59</v>
      </c>
      <c r="H1029" t="s">
        <v>35</v>
      </c>
      <c r="I1029">
        <v>18</v>
      </c>
    </row>
    <row r="1030" spans="1:9" hidden="1" x14ac:dyDescent="0.3">
      <c r="A1030" t="s">
        <v>1068</v>
      </c>
      <c r="B1030" t="s">
        <v>37</v>
      </c>
      <c r="D1030" t="s">
        <v>13</v>
      </c>
      <c r="F1030" t="s">
        <v>14</v>
      </c>
      <c r="G1030" s="2">
        <v>2447.13</v>
      </c>
      <c r="H1030" t="s">
        <v>15</v>
      </c>
      <c r="I1030">
        <v>29</v>
      </c>
    </row>
    <row r="1031" spans="1:9" hidden="1" x14ac:dyDescent="0.3">
      <c r="A1031" t="s">
        <v>1069</v>
      </c>
      <c r="B1031" t="s">
        <v>46</v>
      </c>
      <c r="D1031" t="s">
        <v>62</v>
      </c>
      <c r="F1031" t="s">
        <v>19</v>
      </c>
      <c r="G1031" s="2">
        <v>8147.01</v>
      </c>
      <c r="H1031" t="s">
        <v>15</v>
      </c>
      <c r="I1031">
        <v>50</v>
      </c>
    </row>
    <row r="1032" spans="1:9" hidden="1" x14ac:dyDescent="0.3">
      <c r="A1032" t="s">
        <v>1070</v>
      </c>
      <c r="B1032" t="s">
        <v>27</v>
      </c>
      <c r="D1032" t="s">
        <v>56</v>
      </c>
      <c r="F1032" t="s">
        <v>57</v>
      </c>
      <c r="G1032" s="2">
        <v>11018.18</v>
      </c>
      <c r="H1032" t="s">
        <v>47</v>
      </c>
      <c r="I1032">
        <v>40</v>
      </c>
    </row>
    <row r="1033" spans="1:9" hidden="1" x14ac:dyDescent="0.3">
      <c r="A1033" t="s">
        <v>1071</v>
      </c>
      <c r="B1033" t="s">
        <v>46</v>
      </c>
      <c r="D1033" t="s">
        <v>32</v>
      </c>
      <c r="F1033" t="s">
        <v>33</v>
      </c>
      <c r="G1033" s="2">
        <v>3619.86</v>
      </c>
      <c r="H1033" t="s">
        <v>35</v>
      </c>
      <c r="I1033">
        <v>43</v>
      </c>
    </row>
    <row r="1034" spans="1:9" hidden="1" x14ac:dyDescent="0.3">
      <c r="A1034" t="s">
        <v>1072</v>
      </c>
      <c r="B1034" t="s">
        <v>46</v>
      </c>
      <c r="D1034" t="s">
        <v>56</v>
      </c>
      <c r="F1034" t="s">
        <v>57</v>
      </c>
      <c r="G1034" s="2">
        <v>2888.55</v>
      </c>
      <c r="H1034" t="s">
        <v>20</v>
      </c>
      <c r="I1034">
        <v>50</v>
      </c>
    </row>
    <row r="1035" spans="1:9" hidden="1" x14ac:dyDescent="0.3">
      <c r="A1035" t="s">
        <v>1073</v>
      </c>
      <c r="B1035" t="s">
        <v>27</v>
      </c>
      <c r="D1035" t="s">
        <v>24</v>
      </c>
      <c r="F1035" t="s">
        <v>25</v>
      </c>
      <c r="G1035" s="2">
        <v>9214.94</v>
      </c>
      <c r="H1035" t="s">
        <v>15</v>
      </c>
      <c r="I1035">
        <v>42</v>
      </c>
    </row>
    <row r="1036" spans="1:9" hidden="1" x14ac:dyDescent="0.3">
      <c r="A1036" t="s">
        <v>1074</v>
      </c>
      <c r="B1036" t="s">
        <v>44</v>
      </c>
      <c r="D1036" t="s">
        <v>9</v>
      </c>
      <c r="F1036" t="s">
        <v>10</v>
      </c>
      <c r="G1036" s="2">
        <v>1489.03</v>
      </c>
      <c r="H1036" t="s">
        <v>20</v>
      </c>
      <c r="I1036">
        <v>3</v>
      </c>
    </row>
    <row r="1037" spans="1:9" hidden="1" x14ac:dyDescent="0.3">
      <c r="A1037" t="s">
        <v>1075</v>
      </c>
      <c r="B1037" t="s">
        <v>8</v>
      </c>
      <c r="D1037" t="s">
        <v>24</v>
      </c>
      <c r="F1037" t="s">
        <v>25</v>
      </c>
      <c r="G1037" s="2">
        <v>13108.72</v>
      </c>
      <c r="H1037" t="s">
        <v>11</v>
      </c>
      <c r="I1037">
        <v>0</v>
      </c>
    </row>
    <row r="1038" spans="1:9" hidden="1" x14ac:dyDescent="0.3">
      <c r="A1038" t="s">
        <v>1076</v>
      </c>
      <c r="B1038" t="s">
        <v>52</v>
      </c>
      <c r="D1038" t="s">
        <v>99</v>
      </c>
      <c r="F1038" t="s">
        <v>29</v>
      </c>
      <c r="G1038" s="2">
        <v>8586.6299999999992</v>
      </c>
      <c r="H1038" t="s">
        <v>35</v>
      </c>
      <c r="I1038">
        <v>43</v>
      </c>
    </row>
    <row r="1039" spans="1:9" hidden="1" x14ac:dyDescent="0.3">
      <c r="A1039" t="s">
        <v>1077</v>
      </c>
      <c r="B1039" t="s">
        <v>27</v>
      </c>
      <c r="D1039" t="s">
        <v>13</v>
      </c>
      <c r="F1039" t="s">
        <v>14</v>
      </c>
      <c r="G1039" s="2">
        <v>9378.36</v>
      </c>
      <c r="H1039" t="s">
        <v>20</v>
      </c>
      <c r="I1039">
        <v>4</v>
      </c>
    </row>
    <row r="1040" spans="1:9" hidden="1" x14ac:dyDescent="0.3">
      <c r="A1040" t="s">
        <v>1078</v>
      </c>
      <c r="B1040" t="s">
        <v>52</v>
      </c>
      <c r="D1040" t="s">
        <v>18</v>
      </c>
      <c r="F1040" t="s">
        <v>19</v>
      </c>
      <c r="G1040" s="2">
        <v>9109.01</v>
      </c>
      <c r="H1040" t="s">
        <v>11</v>
      </c>
      <c r="I1040">
        <v>0</v>
      </c>
    </row>
    <row r="1041" spans="1:9" hidden="1" x14ac:dyDescent="0.3">
      <c r="A1041" t="s">
        <v>1079</v>
      </c>
      <c r="B1041" t="s">
        <v>46</v>
      </c>
      <c r="D1041" t="s">
        <v>9</v>
      </c>
      <c r="F1041" t="s">
        <v>10</v>
      </c>
      <c r="G1041" s="2">
        <v>7047.48</v>
      </c>
      <c r="H1041" t="s">
        <v>20</v>
      </c>
      <c r="I1041">
        <v>24</v>
      </c>
    </row>
    <row r="1042" spans="1:9" hidden="1" x14ac:dyDescent="0.3">
      <c r="A1042" t="s">
        <v>1080</v>
      </c>
      <c r="B1042" t="s">
        <v>54</v>
      </c>
      <c r="D1042" t="s">
        <v>56</v>
      </c>
      <c r="F1042" t="s">
        <v>57</v>
      </c>
      <c r="G1042" s="2">
        <v>12339.3</v>
      </c>
      <c r="H1042" t="s">
        <v>35</v>
      </c>
      <c r="I1042">
        <v>4</v>
      </c>
    </row>
    <row r="1043" spans="1:9" hidden="1" x14ac:dyDescent="0.3">
      <c r="A1043" t="s">
        <v>1081</v>
      </c>
      <c r="B1043" t="s">
        <v>37</v>
      </c>
      <c r="D1043" t="s">
        <v>62</v>
      </c>
      <c r="F1043" t="s">
        <v>19</v>
      </c>
      <c r="G1043" s="2">
        <v>7958.86</v>
      </c>
      <c r="H1043" t="s">
        <v>35</v>
      </c>
      <c r="I1043">
        <v>54</v>
      </c>
    </row>
    <row r="1044" spans="1:9" hidden="1" x14ac:dyDescent="0.3">
      <c r="A1044" t="s">
        <v>1082</v>
      </c>
      <c r="B1044" t="s">
        <v>8</v>
      </c>
      <c r="D1044" t="s">
        <v>9</v>
      </c>
      <c r="F1044" t="s">
        <v>10</v>
      </c>
      <c r="G1044" s="2">
        <v>14171.82</v>
      </c>
      <c r="H1044" t="s">
        <v>47</v>
      </c>
      <c r="I1044">
        <v>7</v>
      </c>
    </row>
    <row r="1045" spans="1:9" hidden="1" x14ac:dyDescent="0.3">
      <c r="A1045" t="s">
        <v>1083</v>
      </c>
      <c r="B1045" t="s">
        <v>54</v>
      </c>
      <c r="D1045" t="s">
        <v>18</v>
      </c>
      <c r="F1045" t="s">
        <v>19</v>
      </c>
      <c r="G1045" s="2">
        <v>7998.33</v>
      </c>
      <c r="H1045" t="s">
        <v>11</v>
      </c>
      <c r="I1045">
        <v>0</v>
      </c>
    </row>
    <row r="1046" spans="1:9" hidden="1" x14ac:dyDescent="0.3">
      <c r="A1046" t="s">
        <v>1084</v>
      </c>
      <c r="B1046" t="s">
        <v>8</v>
      </c>
      <c r="D1046" t="s">
        <v>24</v>
      </c>
      <c r="F1046" t="s">
        <v>25</v>
      </c>
      <c r="G1046" s="2">
        <v>8398.43</v>
      </c>
      <c r="H1046" t="s">
        <v>20</v>
      </c>
      <c r="I1046">
        <v>48</v>
      </c>
    </row>
    <row r="1047" spans="1:9" hidden="1" x14ac:dyDescent="0.3">
      <c r="A1047" t="s">
        <v>1085</v>
      </c>
      <c r="B1047" t="s">
        <v>31</v>
      </c>
      <c r="D1047" t="s">
        <v>32</v>
      </c>
      <c r="F1047" t="s">
        <v>33</v>
      </c>
      <c r="G1047" s="2">
        <v>5401.55</v>
      </c>
      <c r="H1047" t="s">
        <v>15</v>
      </c>
      <c r="I1047">
        <v>43</v>
      </c>
    </row>
    <row r="1048" spans="1:9" hidden="1" x14ac:dyDescent="0.3">
      <c r="A1048" t="s">
        <v>1086</v>
      </c>
      <c r="B1048" t="s">
        <v>44</v>
      </c>
      <c r="D1048" t="s">
        <v>9</v>
      </c>
      <c r="F1048" t="s">
        <v>10</v>
      </c>
      <c r="G1048" s="2">
        <v>2543.8000000000002</v>
      </c>
      <c r="H1048" t="s">
        <v>11</v>
      </c>
      <c r="I1048">
        <v>0</v>
      </c>
    </row>
    <row r="1049" spans="1:9" hidden="1" x14ac:dyDescent="0.3">
      <c r="A1049" t="s">
        <v>1087</v>
      </c>
      <c r="B1049" t="s">
        <v>27</v>
      </c>
      <c r="D1049" t="s">
        <v>13</v>
      </c>
      <c r="F1049" t="s">
        <v>14</v>
      </c>
      <c r="G1049" s="2">
        <v>14976.58</v>
      </c>
      <c r="H1049" t="s">
        <v>15</v>
      </c>
      <c r="I1049">
        <v>23</v>
      </c>
    </row>
    <row r="1050" spans="1:9" hidden="1" x14ac:dyDescent="0.3">
      <c r="A1050" t="s">
        <v>1088</v>
      </c>
      <c r="B1050" t="s">
        <v>31</v>
      </c>
      <c r="D1050" t="s">
        <v>13</v>
      </c>
      <c r="F1050" t="s">
        <v>14</v>
      </c>
      <c r="G1050" s="2">
        <v>14872.37</v>
      </c>
      <c r="H1050" t="s">
        <v>15</v>
      </c>
      <c r="I1050">
        <v>24</v>
      </c>
    </row>
    <row r="1051" spans="1:9" hidden="1" x14ac:dyDescent="0.3">
      <c r="A1051" t="s">
        <v>1089</v>
      </c>
      <c r="B1051" t="s">
        <v>54</v>
      </c>
      <c r="D1051" t="s">
        <v>56</v>
      </c>
      <c r="F1051" t="s">
        <v>57</v>
      </c>
      <c r="G1051" s="2">
        <v>12401.02</v>
      </c>
      <c r="H1051" t="s">
        <v>15</v>
      </c>
      <c r="I1051">
        <v>16</v>
      </c>
    </row>
    <row r="1052" spans="1:9" hidden="1" x14ac:dyDescent="0.3">
      <c r="A1052" t="s">
        <v>1090</v>
      </c>
      <c r="B1052" t="s">
        <v>37</v>
      </c>
      <c r="D1052" t="s">
        <v>13</v>
      </c>
      <c r="F1052" t="s">
        <v>14</v>
      </c>
      <c r="G1052" s="2">
        <v>3248.23</v>
      </c>
      <c r="H1052" t="s">
        <v>35</v>
      </c>
      <c r="I1052">
        <v>60</v>
      </c>
    </row>
    <row r="1053" spans="1:9" hidden="1" x14ac:dyDescent="0.3">
      <c r="A1053" t="s">
        <v>1091</v>
      </c>
      <c r="B1053" t="s">
        <v>22</v>
      </c>
      <c r="D1053" t="s">
        <v>28</v>
      </c>
      <c r="F1053" t="s">
        <v>29</v>
      </c>
      <c r="G1053" s="2">
        <v>14426.69</v>
      </c>
      <c r="H1053" t="s">
        <v>15</v>
      </c>
      <c r="I1053">
        <v>26</v>
      </c>
    </row>
    <row r="1054" spans="1:9" hidden="1" x14ac:dyDescent="0.3">
      <c r="A1054" t="s">
        <v>1092</v>
      </c>
      <c r="B1054" t="s">
        <v>44</v>
      </c>
      <c r="D1054" t="s">
        <v>99</v>
      </c>
      <c r="F1054" t="s">
        <v>29</v>
      </c>
      <c r="G1054" s="2">
        <v>14745.2</v>
      </c>
      <c r="H1054" t="s">
        <v>20</v>
      </c>
      <c r="I1054">
        <v>34</v>
      </c>
    </row>
    <row r="1055" spans="1:9" hidden="1" x14ac:dyDescent="0.3">
      <c r="A1055" t="s">
        <v>1093</v>
      </c>
      <c r="B1055" t="s">
        <v>27</v>
      </c>
      <c r="D1055" t="s">
        <v>62</v>
      </c>
      <c r="F1055" t="s">
        <v>19</v>
      </c>
      <c r="G1055" s="2">
        <v>148.19999999999999</v>
      </c>
      <c r="H1055" t="s">
        <v>47</v>
      </c>
      <c r="I1055">
        <v>14</v>
      </c>
    </row>
    <row r="1056" spans="1:9" hidden="1" x14ac:dyDescent="0.3">
      <c r="A1056" t="s">
        <v>1094</v>
      </c>
      <c r="B1056" t="s">
        <v>37</v>
      </c>
      <c r="D1056" t="s">
        <v>99</v>
      </c>
      <c r="F1056" t="s">
        <v>29</v>
      </c>
      <c r="G1056" s="2">
        <v>11584.27</v>
      </c>
      <c r="H1056" t="s">
        <v>47</v>
      </c>
      <c r="I1056">
        <v>53</v>
      </c>
    </row>
    <row r="1057" spans="1:9" hidden="1" x14ac:dyDescent="0.3">
      <c r="A1057" t="s">
        <v>1095</v>
      </c>
      <c r="B1057" t="s">
        <v>44</v>
      </c>
      <c r="D1057" t="s">
        <v>13</v>
      </c>
      <c r="F1057" t="s">
        <v>14</v>
      </c>
      <c r="G1057" s="2">
        <v>7693.51</v>
      </c>
      <c r="H1057" t="s">
        <v>20</v>
      </c>
      <c r="I1057">
        <v>37</v>
      </c>
    </row>
    <row r="1058" spans="1:9" hidden="1" x14ac:dyDescent="0.3">
      <c r="A1058" t="s">
        <v>1096</v>
      </c>
      <c r="B1058" t="s">
        <v>37</v>
      </c>
      <c r="D1058" t="s">
        <v>9</v>
      </c>
      <c r="F1058" t="s">
        <v>10</v>
      </c>
      <c r="G1058" s="2">
        <v>614.16</v>
      </c>
      <c r="H1058" t="s">
        <v>15</v>
      </c>
      <c r="I1058">
        <v>9</v>
      </c>
    </row>
    <row r="1059" spans="1:9" hidden="1" x14ac:dyDescent="0.3">
      <c r="A1059" t="s">
        <v>1097</v>
      </c>
      <c r="B1059" t="s">
        <v>8</v>
      </c>
      <c r="D1059" t="s">
        <v>28</v>
      </c>
      <c r="F1059" t="s">
        <v>29</v>
      </c>
      <c r="G1059" s="2">
        <v>13349.9</v>
      </c>
      <c r="H1059" t="s">
        <v>11</v>
      </c>
      <c r="I1059">
        <v>0</v>
      </c>
    </row>
    <row r="1060" spans="1:9" hidden="1" x14ac:dyDescent="0.3">
      <c r="A1060" t="s">
        <v>1098</v>
      </c>
      <c r="B1060" t="s">
        <v>8</v>
      </c>
      <c r="D1060" t="s">
        <v>32</v>
      </c>
      <c r="F1060" t="s">
        <v>33</v>
      </c>
      <c r="G1060" s="2">
        <v>6026.98</v>
      </c>
      <c r="H1060" t="s">
        <v>47</v>
      </c>
      <c r="I1060">
        <v>47</v>
      </c>
    </row>
    <row r="1061" spans="1:9" hidden="1" x14ac:dyDescent="0.3">
      <c r="A1061" t="s">
        <v>1099</v>
      </c>
      <c r="B1061" t="s">
        <v>54</v>
      </c>
      <c r="D1061" t="s">
        <v>28</v>
      </c>
      <c r="F1061" t="s">
        <v>29</v>
      </c>
      <c r="G1061" s="2">
        <v>11903.92</v>
      </c>
      <c r="H1061" t="s">
        <v>11</v>
      </c>
      <c r="I1061">
        <v>0</v>
      </c>
    </row>
    <row r="1062" spans="1:9" hidden="1" x14ac:dyDescent="0.3">
      <c r="A1062" t="s">
        <v>1100</v>
      </c>
      <c r="B1062" t="s">
        <v>8</v>
      </c>
      <c r="D1062" t="s">
        <v>62</v>
      </c>
      <c r="F1062" t="s">
        <v>19</v>
      </c>
      <c r="G1062" s="2">
        <v>608.71</v>
      </c>
      <c r="H1062" t="s">
        <v>35</v>
      </c>
      <c r="I1062">
        <v>25</v>
      </c>
    </row>
    <row r="1063" spans="1:9" hidden="1" x14ac:dyDescent="0.3">
      <c r="A1063" t="s">
        <v>1101</v>
      </c>
      <c r="B1063" t="s">
        <v>31</v>
      </c>
      <c r="D1063" t="s">
        <v>99</v>
      </c>
      <c r="F1063" t="s">
        <v>29</v>
      </c>
      <c r="G1063" s="2">
        <v>13831.98</v>
      </c>
      <c r="H1063" t="s">
        <v>15</v>
      </c>
      <c r="I1063">
        <v>57</v>
      </c>
    </row>
    <row r="1064" spans="1:9" hidden="1" x14ac:dyDescent="0.3">
      <c r="A1064" t="s">
        <v>1102</v>
      </c>
      <c r="B1064" t="s">
        <v>54</v>
      </c>
      <c r="D1064" t="s">
        <v>56</v>
      </c>
      <c r="F1064" t="s">
        <v>57</v>
      </c>
      <c r="G1064" s="2">
        <v>13957.18</v>
      </c>
      <c r="H1064" t="s">
        <v>11</v>
      </c>
      <c r="I1064">
        <v>0</v>
      </c>
    </row>
    <row r="1065" spans="1:9" hidden="1" x14ac:dyDescent="0.3">
      <c r="A1065" t="s">
        <v>1103</v>
      </c>
      <c r="B1065" t="s">
        <v>37</v>
      </c>
      <c r="D1065" t="s">
        <v>99</v>
      </c>
      <c r="F1065" t="s">
        <v>29</v>
      </c>
      <c r="G1065" s="2">
        <v>9526.61</v>
      </c>
      <c r="H1065" t="s">
        <v>20</v>
      </c>
      <c r="I1065">
        <v>4</v>
      </c>
    </row>
    <row r="1066" spans="1:9" hidden="1" x14ac:dyDescent="0.3">
      <c r="A1066" t="s">
        <v>1104</v>
      </c>
      <c r="B1066" t="s">
        <v>27</v>
      </c>
      <c r="D1066" t="s">
        <v>13</v>
      </c>
      <c r="F1066" t="s">
        <v>14</v>
      </c>
      <c r="G1066" s="2">
        <v>665.67</v>
      </c>
      <c r="H1066" t="s">
        <v>15</v>
      </c>
      <c r="I1066">
        <v>10</v>
      </c>
    </row>
    <row r="1067" spans="1:9" hidden="1" x14ac:dyDescent="0.3">
      <c r="A1067" t="s">
        <v>1105</v>
      </c>
      <c r="B1067" t="s">
        <v>52</v>
      </c>
      <c r="D1067" t="s">
        <v>13</v>
      </c>
      <c r="F1067" t="s">
        <v>14</v>
      </c>
      <c r="G1067" s="2">
        <v>10481.64</v>
      </c>
      <c r="H1067" t="s">
        <v>11</v>
      </c>
      <c r="I1067">
        <v>11</v>
      </c>
    </row>
    <row r="1068" spans="1:9" hidden="1" x14ac:dyDescent="0.3">
      <c r="A1068" t="s">
        <v>1106</v>
      </c>
      <c r="B1068" t="s">
        <v>31</v>
      </c>
      <c r="D1068" t="s">
        <v>32</v>
      </c>
      <c r="F1068" t="s">
        <v>33</v>
      </c>
      <c r="G1068" s="2">
        <v>8650.06</v>
      </c>
      <c r="H1068" t="s">
        <v>11</v>
      </c>
      <c r="I1068">
        <v>0</v>
      </c>
    </row>
    <row r="1069" spans="1:9" hidden="1" x14ac:dyDescent="0.3">
      <c r="A1069" t="s">
        <v>1107</v>
      </c>
      <c r="B1069" t="s">
        <v>46</v>
      </c>
      <c r="D1069" t="s">
        <v>24</v>
      </c>
      <c r="F1069" t="s">
        <v>25</v>
      </c>
      <c r="G1069" s="2">
        <v>2026.23</v>
      </c>
      <c r="H1069" t="s">
        <v>11</v>
      </c>
      <c r="I1069">
        <v>0</v>
      </c>
    </row>
    <row r="1070" spans="1:9" hidden="1" x14ac:dyDescent="0.3">
      <c r="A1070" t="s">
        <v>1108</v>
      </c>
      <c r="B1070" t="s">
        <v>44</v>
      </c>
      <c r="D1070" t="s">
        <v>56</v>
      </c>
      <c r="F1070" t="s">
        <v>57</v>
      </c>
      <c r="G1070" s="2">
        <v>3975.24</v>
      </c>
      <c r="H1070" t="s">
        <v>15</v>
      </c>
      <c r="I1070">
        <v>28</v>
      </c>
    </row>
    <row r="1071" spans="1:9" hidden="1" x14ac:dyDescent="0.3">
      <c r="A1071" t="s">
        <v>1109</v>
      </c>
      <c r="B1071" t="s">
        <v>46</v>
      </c>
      <c r="D1071" t="s">
        <v>24</v>
      </c>
      <c r="F1071" t="s">
        <v>25</v>
      </c>
      <c r="G1071" s="2">
        <v>7239.79</v>
      </c>
      <c r="H1071" t="s">
        <v>11</v>
      </c>
      <c r="I1071">
        <v>0</v>
      </c>
    </row>
    <row r="1072" spans="1:9" hidden="1" x14ac:dyDescent="0.3">
      <c r="A1072" t="s">
        <v>1110</v>
      </c>
      <c r="B1072" t="s">
        <v>8</v>
      </c>
      <c r="D1072" t="s">
        <v>32</v>
      </c>
      <c r="F1072" t="s">
        <v>33</v>
      </c>
      <c r="G1072" s="2">
        <v>14956.33</v>
      </c>
      <c r="H1072" t="s">
        <v>15</v>
      </c>
      <c r="I1072">
        <v>16</v>
      </c>
    </row>
    <row r="1073" spans="1:9" hidden="1" x14ac:dyDescent="0.3">
      <c r="A1073" t="s">
        <v>1111</v>
      </c>
      <c r="B1073" t="s">
        <v>54</v>
      </c>
      <c r="D1073" t="s">
        <v>62</v>
      </c>
      <c r="F1073" t="s">
        <v>19</v>
      </c>
      <c r="G1073" s="2">
        <v>11662.74</v>
      </c>
      <c r="H1073" t="s">
        <v>15</v>
      </c>
      <c r="I1073">
        <v>60</v>
      </c>
    </row>
    <row r="1074" spans="1:9" hidden="1" x14ac:dyDescent="0.3">
      <c r="A1074" t="s">
        <v>1112</v>
      </c>
      <c r="B1074" t="s">
        <v>27</v>
      </c>
      <c r="D1074" t="s">
        <v>9</v>
      </c>
      <c r="F1074" t="s">
        <v>10</v>
      </c>
      <c r="G1074" s="2">
        <v>1732.32</v>
      </c>
      <c r="H1074" t="s">
        <v>15</v>
      </c>
      <c r="I1074">
        <v>24</v>
      </c>
    </row>
    <row r="1075" spans="1:9" hidden="1" x14ac:dyDescent="0.3">
      <c r="A1075" t="s">
        <v>1113</v>
      </c>
      <c r="B1075" t="s">
        <v>37</v>
      </c>
      <c r="D1075" t="s">
        <v>18</v>
      </c>
      <c r="F1075" t="s">
        <v>19</v>
      </c>
      <c r="G1075" s="2">
        <v>4845.04</v>
      </c>
      <c r="H1075" t="s">
        <v>20</v>
      </c>
      <c r="I1075">
        <v>2</v>
      </c>
    </row>
    <row r="1076" spans="1:9" hidden="1" x14ac:dyDescent="0.3">
      <c r="A1076" t="s">
        <v>1114</v>
      </c>
      <c r="B1076" t="s">
        <v>52</v>
      </c>
      <c r="D1076" t="s">
        <v>24</v>
      </c>
      <c r="F1076" t="s">
        <v>25</v>
      </c>
      <c r="G1076" s="2">
        <v>14815.4</v>
      </c>
      <c r="H1076" t="s">
        <v>20</v>
      </c>
      <c r="I1076">
        <v>52</v>
      </c>
    </row>
    <row r="1077" spans="1:9" hidden="1" x14ac:dyDescent="0.3">
      <c r="A1077" t="s">
        <v>1115</v>
      </c>
      <c r="B1077" t="s">
        <v>17</v>
      </c>
      <c r="D1077" t="s">
        <v>32</v>
      </c>
      <c r="F1077" t="s">
        <v>33</v>
      </c>
      <c r="G1077" s="2">
        <v>2229.9899999999998</v>
      </c>
      <c r="H1077" t="s">
        <v>11</v>
      </c>
      <c r="I1077">
        <v>0</v>
      </c>
    </row>
    <row r="1078" spans="1:9" hidden="1" x14ac:dyDescent="0.3">
      <c r="A1078" t="s">
        <v>1116</v>
      </c>
      <c r="B1078" t="s">
        <v>8</v>
      </c>
      <c r="D1078" t="s">
        <v>28</v>
      </c>
      <c r="F1078" t="s">
        <v>29</v>
      </c>
      <c r="G1078" s="2">
        <v>2382.0700000000002</v>
      </c>
      <c r="H1078" t="s">
        <v>35</v>
      </c>
      <c r="I1078">
        <v>6</v>
      </c>
    </row>
    <row r="1079" spans="1:9" hidden="1" x14ac:dyDescent="0.3">
      <c r="A1079" t="s">
        <v>1117</v>
      </c>
      <c r="B1079" t="s">
        <v>37</v>
      </c>
      <c r="D1079" t="s">
        <v>99</v>
      </c>
      <c r="F1079" t="s">
        <v>29</v>
      </c>
      <c r="G1079" s="2">
        <v>3683.57</v>
      </c>
      <c r="H1079" t="s">
        <v>20</v>
      </c>
      <c r="I1079">
        <v>10</v>
      </c>
    </row>
    <row r="1080" spans="1:9" hidden="1" x14ac:dyDescent="0.3">
      <c r="A1080" t="s">
        <v>1118</v>
      </c>
      <c r="B1080" t="s">
        <v>52</v>
      </c>
      <c r="D1080" t="s">
        <v>99</v>
      </c>
      <c r="F1080" t="s">
        <v>29</v>
      </c>
      <c r="G1080" s="2">
        <v>5181.91</v>
      </c>
      <c r="H1080" t="s">
        <v>35</v>
      </c>
      <c r="I1080">
        <v>20</v>
      </c>
    </row>
    <row r="1081" spans="1:9" x14ac:dyDescent="0.3">
      <c r="A1081" t="s">
        <v>1119</v>
      </c>
      <c r="B1081" t="s">
        <v>17</v>
      </c>
      <c r="D1081" t="s">
        <v>40</v>
      </c>
      <c r="F1081" t="s">
        <v>41</v>
      </c>
      <c r="G1081" s="2">
        <v>390.08</v>
      </c>
      <c r="H1081" t="s">
        <v>11</v>
      </c>
      <c r="I1081">
        <v>0</v>
      </c>
    </row>
    <row r="1082" spans="1:9" hidden="1" x14ac:dyDescent="0.3">
      <c r="A1082" t="s">
        <v>1120</v>
      </c>
      <c r="B1082" t="s">
        <v>22</v>
      </c>
      <c r="D1082" t="s">
        <v>13</v>
      </c>
      <c r="F1082" t="s">
        <v>14</v>
      </c>
      <c r="G1082" s="2">
        <v>7872.82</v>
      </c>
      <c r="H1082" t="s">
        <v>11</v>
      </c>
      <c r="I1082">
        <v>0</v>
      </c>
    </row>
    <row r="1083" spans="1:9" hidden="1" x14ac:dyDescent="0.3">
      <c r="A1083" t="s">
        <v>1121</v>
      </c>
      <c r="B1083" t="s">
        <v>37</v>
      </c>
      <c r="D1083" t="s">
        <v>56</v>
      </c>
      <c r="F1083" t="s">
        <v>57</v>
      </c>
      <c r="G1083" s="2">
        <v>8765.92</v>
      </c>
      <c r="H1083" t="s">
        <v>20</v>
      </c>
      <c r="I1083">
        <v>3</v>
      </c>
    </row>
    <row r="1084" spans="1:9" hidden="1" x14ac:dyDescent="0.3">
      <c r="A1084" t="s">
        <v>1122</v>
      </c>
      <c r="B1084" t="s">
        <v>22</v>
      </c>
      <c r="D1084" t="s">
        <v>24</v>
      </c>
      <c r="F1084" t="s">
        <v>25</v>
      </c>
      <c r="G1084" s="2">
        <v>948.65</v>
      </c>
      <c r="H1084" t="s">
        <v>11</v>
      </c>
      <c r="I1084">
        <v>0</v>
      </c>
    </row>
    <row r="1085" spans="1:9" x14ac:dyDescent="0.3">
      <c r="A1085" t="s">
        <v>1123</v>
      </c>
      <c r="B1085" t="s">
        <v>27</v>
      </c>
      <c r="D1085" t="s">
        <v>40</v>
      </c>
      <c r="F1085" t="s">
        <v>41</v>
      </c>
      <c r="G1085" s="2">
        <v>9838.6299999999992</v>
      </c>
      <c r="H1085" t="s">
        <v>11</v>
      </c>
      <c r="I1085">
        <v>0</v>
      </c>
    </row>
    <row r="1086" spans="1:9" hidden="1" x14ac:dyDescent="0.3">
      <c r="A1086" t="s">
        <v>1124</v>
      </c>
      <c r="B1086" t="s">
        <v>31</v>
      </c>
      <c r="D1086" t="s">
        <v>9</v>
      </c>
      <c r="F1086" t="s">
        <v>10</v>
      </c>
      <c r="G1086" s="2">
        <v>335.22</v>
      </c>
      <c r="H1086" t="s">
        <v>35</v>
      </c>
      <c r="I1086">
        <v>42</v>
      </c>
    </row>
    <row r="1087" spans="1:9" hidden="1" x14ac:dyDescent="0.3">
      <c r="A1087" t="s">
        <v>1125</v>
      </c>
      <c r="B1087" t="s">
        <v>8</v>
      </c>
      <c r="D1087" t="s">
        <v>18</v>
      </c>
      <c r="F1087" t="s">
        <v>19</v>
      </c>
      <c r="G1087" s="2">
        <v>14697.9</v>
      </c>
      <c r="H1087" t="s">
        <v>15</v>
      </c>
      <c r="I1087">
        <v>46</v>
      </c>
    </row>
    <row r="1088" spans="1:9" hidden="1" x14ac:dyDescent="0.3">
      <c r="A1088" t="s">
        <v>1126</v>
      </c>
      <c r="B1088" t="s">
        <v>44</v>
      </c>
      <c r="D1088" t="s">
        <v>28</v>
      </c>
      <c r="F1088" t="s">
        <v>29</v>
      </c>
      <c r="G1088" s="2">
        <v>7295.7</v>
      </c>
      <c r="H1088" t="s">
        <v>20</v>
      </c>
      <c r="I1088">
        <v>6</v>
      </c>
    </row>
    <row r="1089" spans="1:9" hidden="1" x14ac:dyDescent="0.3">
      <c r="A1089" t="s">
        <v>1127</v>
      </c>
      <c r="B1089" t="s">
        <v>22</v>
      </c>
      <c r="D1089" t="s">
        <v>18</v>
      </c>
      <c r="F1089" t="s">
        <v>19</v>
      </c>
      <c r="G1089" s="2">
        <v>7534.73</v>
      </c>
      <c r="H1089" t="s">
        <v>15</v>
      </c>
      <c r="I1089">
        <v>60</v>
      </c>
    </row>
    <row r="1090" spans="1:9" hidden="1" x14ac:dyDescent="0.3">
      <c r="A1090" t="s">
        <v>1128</v>
      </c>
      <c r="B1090" t="s">
        <v>52</v>
      </c>
      <c r="D1090" t="s">
        <v>99</v>
      </c>
      <c r="F1090" t="s">
        <v>29</v>
      </c>
      <c r="G1090" s="2">
        <v>3748.51</v>
      </c>
      <c r="H1090" t="s">
        <v>15</v>
      </c>
      <c r="I1090">
        <v>22</v>
      </c>
    </row>
    <row r="1091" spans="1:9" hidden="1" x14ac:dyDescent="0.3">
      <c r="A1091" t="s">
        <v>1129</v>
      </c>
      <c r="B1091" t="s">
        <v>27</v>
      </c>
      <c r="D1091" t="s">
        <v>56</v>
      </c>
      <c r="F1091" t="s">
        <v>57</v>
      </c>
      <c r="G1091" s="2">
        <v>11178.64</v>
      </c>
      <c r="H1091" t="s">
        <v>11</v>
      </c>
      <c r="I1091">
        <v>0</v>
      </c>
    </row>
    <row r="1092" spans="1:9" hidden="1" x14ac:dyDescent="0.3">
      <c r="A1092" t="s">
        <v>1130</v>
      </c>
      <c r="B1092" t="s">
        <v>37</v>
      </c>
      <c r="D1092" t="s">
        <v>62</v>
      </c>
      <c r="F1092" t="s">
        <v>19</v>
      </c>
      <c r="G1092" s="2">
        <v>3581.26</v>
      </c>
      <c r="H1092" t="s">
        <v>47</v>
      </c>
      <c r="I1092">
        <v>33</v>
      </c>
    </row>
    <row r="1093" spans="1:9" hidden="1" x14ac:dyDescent="0.3">
      <c r="A1093" t="s">
        <v>1131</v>
      </c>
      <c r="B1093" t="s">
        <v>22</v>
      </c>
      <c r="D1093" t="s">
        <v>99</v>
      </c>
      <c r="F1093" t="s">
        <v>29</v>
      </c>
      <c r="G1093" s="2">
        <v>9405.6</v>
      </c>
      <c r="H1093" t="s">
        <v>35</v>
      </c>
      <c r="I1093">
        <v>57</v>
      </c>
    </row>
    <row r="1094" spans="1:9" hidden="1" x14ac:dyDescent="0.3">
      <c r="A1094" t="s">
        <v>1132</v>
      </c>
      <c r="B1094" t="s">
        <v>44</v>
      </c>
      <c r="D1094" t="s">
        <v>13</v>
      </c>
      <c r="F1094" t="s">
        <v>14</v>
      </c>
      <c r="G1094" s="2">
        <v>14239.29</v>
      </c>
      <c r="H1094" t="s">
        <v>11</v>
      </c>
      <c r="I1094">
        <v>6</v>
      </c>
    </row>
    <row r="1095" spans="1:9" hidden="1" x14ac:dyDescent="0.3">
      <c r="A1095" t="s">
        <v>1133</v>
      </c>
      <c r="B1095" t="s">
        <v>54</v>
      </c>
      <c r="D1095" t="s">
        <v>9</v>
      </c>
      <c r="F1095" t="s">
        <v>10</v>
      </c>
      <c r="G1095" s="2">
        <v>10961.85</v>
      </c>
      <c r="H1095" t="s">
        <v>15</v>
      </c>
      <c r="I1095">
        <v>44</v>
      </c>
    </row>
    <row r="1096" spans="1:9" hidden="1" x14ac:dyDescent="0.3">
      <c r="A1096" t="s">
        <v>1134</v>
      </c>
      <c r="B1096" t="s">
        <v>37</v>
      </c>
      <c r="D1096" t="s">
        <v>18</v>
      </c>
      <c r="F1096" t="s">
        <v>19</v>
      </c>
      <c r="G1096" s="2">
        <v>6289.13</v>
      </c>
      <c r="H1096" t="s">
        <v>20</v>
      </c>
      <c r="I1096">
        <v>28</v>
      </c>
    </row>
    <row r="1097" spans="1:9" hidden="1" x14ac:dyDescent="0.3">
      <c r="A1097" t="s">
        <v>1135</v>
      </c>
      <c r="B1097" t="s">
        <v>44</v>
      </c>
      <c r="D1097" t="s">
        <v>32</v>
      </c>
      <c r="F1097" t="s">
        <v>33</v>
      </c>
      <c r="G1097" s="2">
        <v>4972.8100000000004</v>
      </c>
      <c r="H1097" t="s">
        <v>15</v>
      </c>
      <c r="I1097">
        <v>14</v>
      </c>
    </row>
    <row r="1098" spans="1:9" hidden="1" x14ac:dyDescent="0.3">
      <c r="A1098" t="s">
        <v>1136</v>
      </c>
      <c r="B1098" t="s">
        <v>44</v>
      </c>
      <c r="D1098" t="s">
        <v>32</v>
      </c>
      <c r="F1098" t="s">
        <v>33</v>
      </c>
      <c r="G1098" s="2">
        <v>8143.24</v>
      </c>
      <c r="H1098" t="s">
        <v>35</v>
      </c>
      <c r="I1098">
        <v>56</v>
      </c>
    </row>
    <row r="1099" spans="1:9" hidden="1" x14ac:dyDescent="0.3">
      <c r="A1099" t="s">
        <v>1137</v>
      </c>
      <c r="B1099" t="s">
        <v>44</v>
      </c>
      <c r="D1099" t="s">
        <v>62</v>
      </c>
      <c r="F1099" t="s">
        <v>19</v>
      </c>
      <c r="G1099" s="2">
        <v>10343.549999999999</v>
      </c>
      <c r="H1099" t="s">
        <v>47</v>
      </c>
      <c r="I1099">
        <v>59</v>
      </c>
    </row>
    <row r="1100" spans="1:9" hidden="1" x14ac:dyDescent="0.3">
      <c r="A1100" t="s">
        <v>1138</v>
      </c>
      <c r="B1100" t="s">
        <v>54</v>
      </c>
      <c r="D1100" t="s">
        <v>56</v>
      </c>
      <c r="F1100" t="s">
        <v>57</v>
      </c>
      <c r="G1100" s="2">
        <v>14935.5</v>
      </c>
      <c r="H1100" t="s">
        <v>47</v>
      </c>
      <c r="I1100">
        <v>10</v>
      </c>
    </row>
    <row r="1101" spans="1:9" hidden="1" x14ac:dyDescent="0.3">
      <c r="A1101" t="s">
        <v>1139</v>
      </c>
      <c r="B1101" t="s">
        <v>8</v>
      </c>
      <c r="D1101" t="s">
        <v>24</v>
      </c>
      <c r="F1101" t="s">
        <v>25</v>
      </c>
      <c r="G1101" s="2">
        <v>4796.57</v>
      </c>
      <c r="H1101" t="s">
        <v>20</v>
      </c>
      <c r="I1101">
        <v>47</v>
      </c>
    </row>
    <row r="1102" spans="1:9" hidden="1" x14ac:dyDescent="0.3">
      <c r="A1102" t="s">
        <v>1140</v>
      </c>
      <c r="B1102" t="s">
        <v>22</v>
      </c>
      <c r="D1102" t="s">
        <v>24</v>
      </c>
      <c r="F1102" t="s">
        <v>25</v>
      </c>
      <c r="G1102" s="2">
        <v>4798.08</v>
      </c>
      <c r="H1102" t="s">
        <v>35</v>
      </c>
      <c r="I1102">
        <v>47</v>
      </c>
    </row>
    <row r="1103" spans="1:9" hidden="1" x14ac:dyDescent="0.3">
      <c r="A1103" t="s">
        <v>1141</v>
      </c>
      <c r="B1103" t="s">
        <v>37</v>
      </c>
      <c r="D1103" t="s">
        <v>28</v>
      </c>
      <c r="F1103" t="s">
        <v>29</v>
      </c>
      <c r="G1103" s="2">
        <v>13207.97</v>
      </c>
      <c r="H1103" t="s">
        <v>15</v>
      </c>
      <c r="I1103">
        <v>27</v>
      </c>
    </row>
    <row r="1104" spans="1:9" x14ac:dyDescent="0.3">
      <c r="A1104" t="s">
        <v>1142</v>
      </c>
      <c r="B1104" t="s">
        <v>37</v>
      </c>
      <c r="D1104" t="s">
        <v>40</v>
      </c>
      <c r="F1104" t="s">
        <v>41</v>
      </c>
      <c r="G1104" s="2">
        <v>11196.87</v>
      </c>
      <c r="H1104" t="s">
        <v>35</v>
      </c>
      <c r="I1104">
        <v>41</v>
      </c>
    </row>
    <row r="1105" spans="1:9" hidden="1" x14ac:dyDescent="0.3">
      <c r="A1105" t="s">
        <v>1143</v>
      </c>
      <c r="B1105" t="s">
        <v>54</v>
      </c>
      <c r="D1105" t="s">
        <v>24</v>
      </c>
      <c r="F1105" t="s">
        <v>25</v>
      </c>
      <c r="G1105" s="2">
        <v>11697.66</v>
      </c>
      <c r="H1105" t="s">
        <v>11</v>
      </c>
      <c r="I1105">
        <v>0</v>
      </c>
    </row>
    <row r="1106" spans="1:9" hidden="1" x14ac:dyDescent="0.3">
      <c r="A1106" t="s">
        <v>1144</v>
      </c>
      <c r="B1106" t="s">
        <v>54</v>
      </c>
      <c r="D1106" t="s">
        <v>32</v>
      </c>
      <c r="F1106" t="s">
        <v>33</v>
      </c>
      <c r="G1106" s="2">
        <v>4039.6</v>
      </c>
      <c r="H1106" t="s">
        <v>20</v>
      </c>
      <c r="I1106">
        <v>15</v>
      </c>
    </row>
    <row r="1107" spans="1:9" hidden="1" x14ac:dyDescent="0.3">
      <c r="A1107" t="s">
        <v>1145</v>
      </c>
      <c r="B1107" t="s">
        <v>44</v>
      </c>
      <c r="D1107" t="s">
        <v>18</v>
      </c>
      <c r="F1107" t="s">
        <v>19</v>
      </c>
      <c r="G1107" s="2">
        <v>3502.14</v>
      </c>
      <c r="H1107" t="s">
        <v>11</v>
      </c>
      <c r="I1107">
        <v>2</v>
      </c>
    </row>
    <row r="1108" spans="1:9" hidden="1" x14ac:dyDescent="0.3">
      <c r="A1108" t="s">
        <v>1146</v>
      </c>
      <c r="B1108" t="s">
        <v>27</v>
      </c>
      <c r="D1108" t="s">
        <v>13</v>
      </c>
      <c r="F1108" t="s">
        <v>14</v>
      </c>
      <c r="G1108" s="2">
        <v>12699.77</v>
      </c>
      <c r="H1108" t="s">
        <v>15</v>
      </c>
      <c r="I1108">
        <v>42</v>
      </c>
    </row>
    <row r="1109" spans="1:9" hidden="1" x14ac:dyDescent="0.3">
      <c r="A1109" t="s">
        <v>1147</v>
      </c>
      <c r="B1109" t="s">
        <v>44</v>
      </c>
      <c r="D1109" t="s">
        <v>24</v>
      </c>
      <c r="F1109" t="s">
        <v>25</v>
      </c>
      <c r="G1109" s="2">
        <v>12789.34</v>
      </c>
      <c r="H1109" t="s">
        <v>15</v>
      </c>
      <c r="I1109">
        <v>9</v>
      </c>
    </row>
    <row r="1110" spans="1:9" hidden="1" x14ac:dyDescent="0.3">
      <c r="A1110" t="s">
        <v>1148</v>
      </c>
      <c r="B1110" t="s">
        <v>37</v>
      </c>
      <c r="D1110" t="s">
        <v>18</v>
      </c>
      <c r="F1110" t="s">
        <v>19</v>
      </c>
      <c r="G1110" s="2">
        <v>3432.78</v>
      </c>
      <c r="H1110" t="s">
        <v>15</v>
      </c>
      <c r="I1110">
        <v>1</v>
      </c>
    </row>
    <row r="1111" spans="1:9" hidden="1" x14ac:dyDescent="0.3">
      <c r="A1111" t="s">
        <v>1149</v>
      </c>
      <c r="B1111" t="s">
        <v>17</v>
      </c>
      <c r="D1111" t="s">
        <v>56</v>
      </c>
      <c r="F1111" t="s">
        <v>57</v>
      </c>
      <c r="G1111" s="2">
        <v>3377.19</v>
      </c>
      <c r="H1111" t="s">
        <v>20</v>
      </c>
      <c r="I1111">
        <v>13</v>
      </c>
    </row>
    <row r="1112" spans="1:9" hidden="1" x14ac:dyDescent="0.3">
      <c r="A1112" t="s">
        <v>1150</v>
      </c>
      <c r="B1112" t="s">
        <v>54</v>
      </c>
      <c r="D1112" t="s">
        <v>9</v>
      </c>
      <c r="F1112" t="s">
        <v>10</v>
      </c>
      <c r="G1112" s="2">
        <v>2697.32</v>
      </c>
      <c r="H1112" t="s">
        <v>47</v>
      </c>
      <c r="I1112">
        <v>29</v>
      </c>
    </row>
    <row r="1113" spans="1:9" x14ac:dyDescent="0.3">
      <c r="A1113" t="s">
        <v>1151</v>
      </c>
      <c r="B1113" t="s">
        <v>17</v>
      </c>
      <c r="D1113" t="s">
        <v>40</v>
      </c>
      <c r="F1113" t="s">
        <v>41</v>
      </c>
      <c r="G1113" s="2">
        <v>10333.549999999999</v>
      </c>
      <c r="H1113" t="s">
        <v>35</v>
      </c>
      <c r="I1113">
        <v>57</v>
      </c>
    </row>
    <row r="1114" spans="1:9" hidden="1" x14ac:dyDescent="0.3">
      <c r="A1114" t="s">
        <v>1152</v>
      </c>
      <c r="B1114" t="s">
        <v>27</v>
      </c>
      <c r="D1114" t="s">
        <v>56</v>
      </c>
      <c r="F1114" t="s">
        <v>57</v>
      </c>
      <c r="G1114" s="2">
        <v>6102.76</v>
      </c>
      <c r="H1114" t="s">
        <v>11</v>
      </c>
      <c r="I1114">
        <v>12</v>
      </c>
    </row>
    <row r="1115" spans="1:9" hidden="1" x14ac:dyDescent="0.3">
      <c r="A1115" t="s">
        <v>1153</v>
      </c>
      <c r="B1115" t="s">
        <v>46</v>
      </c>
      <c r="D1115" t="s">
        <v>56</v>
      </c>
      <c r="F1115" t="s">
        <v>57</v>
      </c>
      <c r="G1115" s="2">
        <v>9192</v>
      </c>
      <c r="H1115" t="s">
        <v>35</v>
      </c>
      <c r="I1115">
        <v>39</v>
      </c>
    </row>
    <row r="1116" spans="1:9" hidden="1" x14ac:dyDescent="0.3">
      <c r="A1116" t="s">
        <v>1154</v>
      </c>
      <c r="B1116" t="s">
        <v>46</v>
      </c>
      <c r="D1116" t="s">
        <v>13</v>
      </c>
      <c r="F1116" t="s">
        <v>14</v>
      </c>
      <c r="G1116" s="2">
        <v>9638.84</v>
      </c>
      <c r="H1116" t="s">
        <v>20</v>
      </c>
      <c r="I1116">
        <v>3</v>
      </c>
    </row>
    <row r="1117" spans="1:9" hidden="1" x14ac:dyDescent="0.3">
      <c r="A1117" t="s">
        <v>1155</v>
      </c>
      <c r="B1117" t="s">
        <v>17</v>
      </c>
      <c r="D1117" t="s">
        <v>9</v>
      </c>
      <c r="F1117" t="s">
        <v>10</v>
      </c>
      <c r="G1117" s="2">
        <v>6801.56</v>
      </c>
      <c r="H1117" t="s">
        <v>35</v>
      </c>
      <c r="I1117">
        <v>3</v>
      </c>
    </row>
    <row r="1118" spans="1:9" hidden="1" x14ac:dyDescent="0.3">
      <c r="A1118" t="s">
        <v>1156</v>
      </c>
      <c r="B1118" t="s">
        <v>46</v>
      </c>
      <c r="D1118" t="s">
        <v>13</v>
      </c>
      <c r="F1118" t="s">
        <v>14</v>
      </c>
      <c r="G1118" s="2">
        <v>8091.14</v>
      </c>
      <c r="H1118" t="s">
        <v>47</v>
      </c>
      <c r="I1118">
        <v>3</v>
      </c>
    </row>
    <row r="1119" spans="1:9" hidden="1" x14ac:dyDescent="0.3">
      <c r="A1119" t="s">
        <v>1157</v>
      </c>
      <c r="B1119" t="s">
        <v>17</v>
      </c>
      <c r="D1119" t="s">
        <v>56</v>
      </c>
      <c r="F1119" t="s">
        <v>57</v>
      </c>
      <c r="G1119" s="2">
        <v>7766.09</v>
      </c>
      <c r="H1119" t="s">
        <v>20</v>
      </c>
      <c r="I1119">
        <v>4</v>
      </c>
    </row>
    <row r="1120" spans="1:9" hidden="1" x14ac:dyDescent="0.3">
      <c r="A1120" t="s">
        <v>1158</v>
      </c>
      <c r="B1120" t="s">
        <v>37</v>
      </c>
      <c r="D1120" t="s">
        <v>62</v>
      </c>
      <c r="F1120" t="s">
        <v>19</v>
      </c>
      <c r="G1120" s="2">
        <v>6621.33</v>
      </c>
      <c r="H1120" t="s">
        <v>47</v>
      </c>
      <c r="I1120">
        <v>50</v>
      </c>
    </row>
    <row r="1121" spans="1:9" x14ac:dyDescent="0.3">
      <c r="A1121" t="s">
        <v>1159</v>
      </c>
      <c r="B1121" t="s">
        <v>22</v>
      </c>
      <c r="D1121" t="s">
        <v>40</v>
      </c>
      <c r="F1121" t="s">
        <v>41</v>
      </c>
      <c r="G1121" s="2">
        <v>2538.9699999999998</v>
      </c>
      <c r="H1121" t="s">
        <v>15</v>
      </c>
      <c r="I1121">
        <v>59</v>
      </c>
    </row>
    <row r="1122" spans="1:9" hidden="1" x14ac:dyDescent="0.3">
      <c r="A1122" t="s">
        <v>1160</v>
      </c>
      <c r="B1122" t="s">
        <v>52</v>
      </c>
      <c r="D1122" t="s">
        <v>13</v>
      </c>
      <c r="F1122" t="s">
        <v>14</v>
      </c>
      <c r="G1122" s="2">
        <v>13559.95</v>
      </c>
      <c r="H1122" t="s">
        <v>15</v>
      </c>
      <c r="I1122">
        <v>42</v>
      </c>
    </row>
    <row r="1123" spans="1:9" hidden="1" x14ac:dyDescent="0.3">
      <c r="A1123" t="s">
        <v>1161</v>
      </c>
      <c r="B1123" t="s">
        <v>31</v>
      </c>
      <c r="D1123" t="s">
        <v>9</v>
      </c>
      <c r="F1123" t="s">
        <v>10</v>
      </c>
      <c r="G1123" s="2">
        <v>10853.57</v>
      </c>
      <c r="H1123" t="s">
        <v>11</v>
      </c>
      <c r="I1123">
        <v>0</v>
      </c>
    </row>
    <row r="1124" spans="1:9" hidden="1" x14ac:dyDescent="0.3">
      <c r="A1124" t="s">
        <v>1162</v>
      </c>
      <c r="B1124" t="s">
        <v>52</v>
      </c>
      <c r="D1124" t="s">
        <v>56</v>
      </c>
      <c r="F1124" t="s">
        <v>57</v>
      </c>
      <c r="G1124" s="2">
        <v>4885.74</v>
      </c>
      <c r="H1124" t="s">
        <v>11</v>
      </c>
      <c r="I1124">
        <v>0</v>
      </c>
    </row>
    <row r="1125" spans="1:9" hidden="1" x14ac:dyDescent="0.3">
      <c r="A1125" t="s">
        <v>1163</v>
      </c>
      <c r="B1125" t="s">
        <v>44</v>
      </c>
      <c r="D1125" t="s">
        <v>9</v>
      </c>
      <c r="F1125" t="s">
        <v>10</v>
      </c>
      <c r="G1125" s="2">
        <v>3788.73</v>
      </c>
      <c r="H1125" t="s">
        <v>20</v>
      </c>
      <c r="I1125">
        <v>59</v>
      </c>
    </row>
    <row r="1126" spans="1:9" hidden="1" x14ac:dyDescent="0.3">
      <c r="A1126" t="s">
        <v>1164</v>
      </c>
      <c r="B1126" t="s">
        <v>27</v>
      </c>
      <c r="D1126" t="s">
        <v>9</v>
      </c>
      <c r="F1126" t="s">
        <v>10</v>
      </c>
      <c r="G1126" s="2">
        <v>1413.31</v>
      </c>
      <c r="H1126" t="s">
        <v>20</v>
      </c>
      <c r="I1126">
        <v>41</v>
      </c>
    </row>
    <row r="1127" spans="1:9" hidden="1" x14ac:dyDescent="0.3">
      <c r="A1127" t="s">
        <v>1165</v>
      </c>
      <c r="B1127" t="s">
        <v>46</v>
      </c>
      <c r="D1127" t="s">
        <v>9</v>
      </c>
      <c r="F1127" t="s">
        <v>10</v>
      </c>
      <c r="G1127" s="2">
        <v>7881.07</v>
      </c>
      <c r="H1127" t="s">
        <v>15</v>
      </c>
      <c r="I1127">
        <v>51</v>
      </c>
    </row>
    <row r="1128" spans="1:9" hidden="1" x14ac:dyDescent="0.3">
      <c r="A1128" t="s">
        <v>1166</v>
      </c>
      <c r="B1128" t="s">
        <v>22</v>
      </c>
      <c r="D1128" t="s">
        <v>32</v>
      </c>
      <c r="F1128" t="s">
        <v>33</v>
      </c>
      <c r="G1128" s="2">
        <v>14248.82</v>
      </c>
      <c r="H1128" t="s">
        <v>15</v>
      </c>
      <c r="I1128">
        <v>25</v>
      </c>
    </row>
    <row r="1129" spans="1:9" hidden="1" x14ac:dyDescent="0.3">
      <c r="A1129" t="s">
        <v>1167</v>
      </c>
      <c r="B1129" t="s">
        <v>44</v>
      </c>
      <c r="D1129" t="s">
        <v>24</v>
      </c>
      <c r="F1129" t="s">
        <v>25</v>
      </c>
      <c r="G1129" s="2">
        <v>13688.18</v>
      </c>
      <c r="H1129" t="s">
        <v>20</v>
      </c>
      <c r="I1129">
        <v>43</v>
      </c>
    </row>
    <row r="1130" spans="1:9" hidden="1" x14ac:dyDescent="0.3">
      <c r="A1130" t="s">
        <v>1168</v>
      </c>
      <c r="B1130" t="s">
        <v>31</v>
      </c>
      <c r="D1130" t="s">
        <v>24</v>
      </c>
      <c r="F1130" t="s">
        <v>25</v>
      </c>
      <c r="G1130" s="2">
        <v>13038.84</v>
      </c>
      <c r="H1130" t="s">
        <v>11</v>
      </c>
      <c r="I1130">
        <v>0</v>
      </c>
    </row>
    <row r="1131" spans="1:9" hidden="1" x14ac:dyDescent="0.3">
      <c r="A1131" t="s">
        <v>1169</v>
      </c>
      <c r="B1131" t="s">
        <v>37</v>
      </c>
      <c r="D1131" t="s">
        <v>62</v>
      </c>
      <c r="F1131" t="s">
        <v>19</v>
      </c>
      <c r="G1131" s="2">
        <v>4677.3</v>
      </c>
      <c r="H1131" t="s">
        <v>35</v>
      </c>
      <c r="I1131">
        <v>29</v>
      </c>
    </row>
    <row r="1132" spans="1:9" hidden="1" x14ac:dyDescent="0.3">
      <c r="A1132" t="s">
        <v>1170</v>
      </c>
      <c r="B1132" t="s">
        <v>54</v>
      </c>
      <c r="D1132" t="s">
        <v>24</v>
      </c>
      <c r="F1132" t="s">
        <v>25</v>
      </c>
      <c r="G1132" s="2">
        <v>1807.43</v>
      </c>
      <c r="H1132" t="s">
        <v>11</v>
      </c>
      <c r="I1132">
        <v>0</v>
      </c>
    </row>
    <row r="1133" spans="1:9" hidden="1" x14ac:dyDescent="0.3">
      <c r="A1133" t="s">
        <v>1171</v>
      </c>
      <c r="B1133" t="s">
        <v>46</v>
      </c>
      <c r="D1133" t="s">
        <v>62</v>
      </c>
      <c r="F1133" t="s">
        <v>19</v>
      </c>
      <c r="G1133" s="2">
        <v>232.51</v>
      </c>
      <c r="H1133" t="s">
        <v>15</v>
      </c>
      <c r="I1133">
        <v>32</v>
      </c>
    </row>
    <row r="1134" spans="1:9" hidden="1" x14ac:dyDescent="0.3">
      <c r="A1134" t="s">
        <v>1172</v>
      </c>
      <c r="B1134" t="s">
        <v>54</v>
      </c>
      <c r="D1134" t="s">
        <v>99</v>
      </c>
      <c r="F1134" t="s">
        <v>29</v>
      </c>
      <c r="G1134" s="2">
        <v>9139.36</v>
      </c>
      <c r="H1134" t="s">
        <v>15</v>
      </c>
      <c r="I1134">
        <v>14</v>
      </c>
    </row>
    <row r="1135" spans="1:9" x14ac:dyDescent="0.3">
      <c r="A1135" t="s">
        <v>1173</v>
      </c>
      <c r="B1135" t="s">
        <v>54</v>
      </c>
      <c r="D1135" t="s">
        <v>40</v>
      </c>
      <c r="F1135" t="s">
        <v>41</v>
      </c>
      <c r="G1135" s="2">
        <v>6833.39</v>
      </c>
      <c r="H1135" t="s">
        <v>15</v>
      </c>
      <c r="I1135">
        <v>39</v>
      </c>
    </row>
    <row r="1136" spans="1:9" hidden="1" x14ac:dyDescent="0.3">
      <c r="A1136" t="s">
        <v>1174</v>
      </c>
      <c r="B1136" t="s">
        <v>46</v>
      </c>
      <c r="D1136" t="s">
        <v>99</v>
      </c>
      <c r="F1136" t="s">
        <v>29</v>
      </c>
      <c r="G1136" s="2">
        <v>3708.46</v>
      </c>
      <c r="H1136" t="s">
        <v>15</v>
      </c>
      <c r="I1136">
        <v>40</v>
      </c>
    </row>
    <row r="1137" spans="1:9" hidden="1" x14ac:dyDescent="0.3">
      <c r="A1137" t="s">
        <v>1175</v>
      </c>
      <c r="B1137" t="s">
        <v>22</v>
      </c>
      <c r="D1137" t="s">
        <v>18</v>
      </c>
      <c r="F1137" t="s">
        <v>19</v>
      </c>
      <c r="G1137" s="2">
        <v>781.34</v>
      </c>
      <c r="H1137" t="s">
        <v>11</v>
      </c>
      <c r="I1137">
        <v>0</v>
      </c>
    </row>
    <row r="1138" spans="1:9" hidden="1" x14ac:dyDescent="0.3">
      <c r="A1138" t="s">
        <v>1176</v>
      </c>
      <c r="B1138" t="s">
        <v>54</v>
      </c>
      <c r="D1138" t="s">
        <v>24</v>
      </c>
      <c r="F1138" t="s">
        <v>25</v>
      </c>
      <c r="G1138" s="2">
        <v>12814.75</v>
      </c>
      <c r="H1138" t="s">
        <v>20</v>
      </c>
      <c r="I1138">
        <v>54</v>
      </c>
    </row>
    <row r="1139" spans="1:9" hidden="1" x14ac:dyDescent="0.3">
      <c r="A1139" t="s">
        <v>1177</v>
      </c>
      <c r="B1139" t="s">
        <v>44</v>
      </c>
      <c r="D1139" t="s">
        <v>62</v>
      </c>
      <c r="F1139" t="s">
        <v>19</v>
      </c>
      <c r="G1139" s="2">
        <v>5000.1099999999997</v>
      </c>
      <c r="H1139" t="s">
        <v>11</v>
      </c>
      <c r="I1139">
        <v>2</v>
      </c>
    </row>
    <row r="1140" spans="1:9" hidden="1" x14ac:dyDescent="0.3">
      <c r="A1140" t="s">
        <v>1178</v>
      </c>
      <c r="B1140" t="s">
        <v>54</v>
      </c>
      <c r="D1140" t="s">
        <v>24</v>
      </c>
      <c r="F1140" t="s">
        <v>25</v>
      </c>
      <c r="G1140" s="2">
        <v>10097.75</v>
      </c>
      <c r="H1140" t="s">
        <v>20</v>
      </c>
      <c r="I1140">
        <v>45</v>
      </c>
    </row>
    <row r="1141" spans="1:9" hidden="1" x14ac:dyDescent="0.3">
      <c r="A1141" t="s">
        <v>1179</v>
      </c>
      <c r="B1141" t="s">
        <v>22</v>
      </c>
      <c r="D1141" t="s">
        <v>32</v>
      </c>
      <c r="F1141" t="s">
        <v>33</v>
      </c>
      <c r="G1141" s="2">
        <v>11820.25</v>
      </c>
      <c r="H1141" t="s">
        <v>11</v>
      </c>
      <c r="I1141">
        <v>0</v>
      </c>
    </row>
    <row r="1142" spans="1:9" hidden="1" x14ac:dyDescent="0.3">
      <c r="A1142" t="s">
        <v>1180</v>
      </c>
      <c r="B1142" t="s">
        <v>31</v>
      </c>
      <c r="D1142" t="s">
        <v>9</v>
      </c>
      <c r="F1142" t="s">
        <v>10</v>
      </c>
      <c r="G1142" s="2">
        <v>11539.25</v>
      </c>
      <c r="H1142" t="s">
        <v>15</v>
      </c>
      <c r="I1142">
        <v>58</v>
      </c>
    </row>
    <row r="1143" spans="1:9" hidden="1" x14ac:dyDescent="0.3">
      <c r="A1143" t="s">
        <v>1181</v>
      </c>
      <c r="B1143" t="s">
        <v>37</v>
      </c>
      <c r="D1143" t="s">
        <v>9</v>
      </c>
      <c r="F1143" t="s">
        <v>10</v>
      </c>
      <c r="G1143" s="2">
        <v>11388.71</v>
      </c>
      <c r="H1143" t="s">
        <v>35</v>
      </c>
      <c r="I1143">
        <v>5</v>
      </c>
    </row>
    <row r="1144" spans="1:9" x14ac:dyDescent="0.3">
      <c r="A1144" t="s">
        <v>1182</v>
      </c>
      <c r="B1144" t="s">
        <v>27</v>
      </c>
      <c r="D1144" t="s">
        <v>40</v>
      </c>
      <c r="F1144" t="s">
        <v>41</v>
      </c>
      <c r="G1144" s="2">
        <v>2061.46</v>
      </c>
      <c r="H1144" t="s">
        <v>20</v>
      </c>
      <c r="I1144">
        <v>18</v>
      </c>
    </row>
    <row r="1145" spans="1:9" hidden="1" x14ac:dyDescent="0.3">
      <c r="A1145" t="s">
        <v>1183</v>
      </c>
      <c r="B1145" t="s">
        <v>8</v>
      </c>
      <c r="D1145" t="s">
        <v>13</v>
      </c>
      <c r="F1145" t="s">
        <v>14</v>
      </c>
      <c r="G1145" s="2">
        <v>6235.68</v>
      </c>
      <c r="H1145" t="s">
        <v>11</v>
      </c>
      <c r="I1145">
        <v>0</v>
      </c>
    </row>
    <row r="1146" spans="1:9" hidden="1" x14ac:dyDescent="0.3">
      <c r="A1146" t="s">
        <v>1184</v>
      </c>
      <c r="B1146" t="s">
        <v>52</v>
      </c>
      <c r="D1146" t="s">
        <v>32</v>
      </c>
      <c r="F1146" t="s">
        <v>33</v>
      </c>
      <c r="G1146" s="2">
        <v>10959.44</v>
      </c>
      <c r="H1146" t="s">
        <v>20</v>
      </c>
      <c r="I1146">
        <v>6</v>
      </c>
    </row>
    <row r="1147" spans="1:9" hidden="1" x14ac:dyDescent="0.3">
      <c r="A1147" t="s">
        <v>1185</v>
      </c>
      <c r="B1147" t="s">
        <v>31</v>
      </c>
      <c r="D1147" t="s">
        <v>32</v>
      </c>
      <c r="F1147" t="s">
        <v>33</v>
      </c>
      <c r="G1147" s="2">
        <v>14011.68</v>
      </c>
      <c r="H1147" t="s">
        <v>47</v>
      </c>
      <c r="I1147">
        <v>19</v>
      </c>
    </row>
    <row r="1148" spans="1:9" hidden="1" x14ac:dyDescent="0.3">
      <c r="A1148" t="s">
        <v>1186</v>
      </c>
      <c r="B1148" t="s">
        <v>44</v>
      </c>
      <c r="D1148" t="s">
        <v>32</v>
      </c>
      <c r="F1148" t="s">
        <v>33</v>
      </c>
      <c r="G1148" s="2">
        <v>12724.58</v>
      </c>
      <c r="H1148" t="s">
        <v>11</v>
      </c>
      <c r="I1148">
        <v>0</v>
      </c>
    </row>
    <row r="1149" spans="1:9" hidden="1" x14ac:dyDescent="0.3">
      <c r="A1149" t="s">
        <v>1187</v>
      </c>
      <c r="B1149" t="s">
        <v>52</v>
      </c>
      <c r="D1149" t="s">
        <v>32</v>
      </c>
      <c r="F1149" t="s">
        <v>33</v>
      </c>
      <c r="G1149" s="2">
        <v>8461.3799999999992</v>
      </c>
      <c r="H1149" t="s">
        <v>15</v>
      </c>
      <c r="I1149">
        <v>41</v>
      </c>
    </row>
    <row r="1150" spans="1:9" x14ac:dyDescent="0.3">
      <c r="A1150" t="s">
        <v>1188</v>
      </c>
      <c r="B1150" t="s">
        <v>37</v>
      </c>
      <c r="D1150" t="s">
        <v>40</v>
      </c>
      <c r="F1150" t="s">
        <v>41</v>
      </c>
      <c r="G1150" s="2">
        <v>12129.31</v>
      </c>
      <c r="H1150" t="s">
        <v>47</v>
      </c>
      <c r="I1150">
        <v>15</v>
      </c>
    </row>
    <row r="1151" spans="1:9" hidden="1" x14ac:dyDescent="0.3">
      <c r="A1151" t="s">
        <v>1189</v>
      </c>
      <c r="B1151" t="s">
        <v>17</v>
      </c>
      <c r="D1151" t="s">
        <v>18</v>
      </c>
      <c r="F1151" t="s">
        <v>19</v>
      </c>
      <c r="G1151" s="2">
        <v>73.63</v>
      </c>
      <c r="H1151" t="s">
        <v>11</v>
      </c>
      <c r="I1151">
        <v>0</v>
      </c>
    </row>
    <row r="1152" spans="1:9" hidden="1" x14ac:dyDescent="0.3">
      <c r="A1152" t="s">
        <v>1190</v>
      </c>
      <c r="B1152" t="s">
        <v>27</v>
      </c>
      <c r="D1152" t="s">
        <v>32</v>
      </c>
      <c r="F1152" t="s">
        <v>33</v>
      </c>
      <c r="G1152" s="2">
        <v>14984.86</v>
      </c>
      <c r="H1152" t="s">
        <v>15</v>
      </c>
      <c r="I1152">
        <v>22</v>
      </c>
    </row>
    <row r="1153" spans="1:9" hidden="1" x14ac:dyDescent="0.3">
      <c r="A1153" t="s">
        <v>1191</v>
      </c>
      <c r="B1153" t="s">
        <v>37</v>
      </c>
      <c r="D1153" t="s">
        <v>13</v>
      </c>
      <c r="F1153" t="s">
        <v>14</v>
      </c>
      <c r="G1153" s="2">
        <v>12100.35</v>
      </c>
      <c r="H1153" t="s">
        <v>11</v>
      </c>
      <c r="I1153">
        <v>0</v>
      </c>
    </row>
    <row r="1154" spans="1:9" hidden="1" x14ac:dyDescent="0.3">
      <c r="A1154" t="s">
        <v>1192</v>
      </c>
      <c r="B1154" t="s">
        <v>46</v>
      </c>
      <c r="D1154" t="s">
        <v>62</v>
      </c>
      <c r="F1154" t="s">
        <v>19</v>
      </c>
      <c r="G1154" s="2">
        <v>11863.42</v>
      </c>
      <c r="H1154" t="s">
        <v>15</v>
      </c>
      <c r="I1154">
        <v>33</v>
      </c>
    </row>
    <row r="1155" spans="1:9" hidden="1" x14ac:dyDescent="0.3">
      <c r="A1155" t="s">
        <v>1193</v>
      </c>
      <c r="B1155" t="s">
        <v>31</v>
      </c>
      <c r="D1155" t="s">
        <v>28</v>
      </c>
      <c r="F1155" t="s">
        <v>29</v>
      </c>
      <c r="G1155" s="2">
        <v>11517.14</v>
      </c>
      <c r="H1155" t="s">
        <v>11</v>
      </c>
      <c r="I1155">
        <v>0</v>
      </c>
    </row>
    <row r="1156" spans="1:9" hidden="1" x14ac:dyDescent="0.3">
      <c r="A1156" t="s">
        <v>1194</v>
      </c>
      <c r="B1156" t="s">
        <v>27</v>
      </c>
      <c r="D1156" t="s">
        <v>32</v>
      </c>
      <c r="F1156" t="s">
        <v>33</v>
      </c>
      <c r="G1156" s="2">
        <v>9259.1</v>
      </c>
      <c r="H1156" t="s">
        <v>11</v>
      </c>
      <c r="I1156">
        <v>0</v>
      </c>
    </row>
    <row r="1157" spans="1:9" hidden="1" x14ac:dyDescent="0.3">
      <c r="A1157" t="s">
        <v>1195</v>
      </c>
      <c r="B1157" t="s">
        <v>22</v>
      </c>
      <c r="D1157" t="s">
        <v>28</v>
      </c>
      <c r="F1157" t="s">
        <v>29</v>
      </c>
      <c r="G1157" s="2">
        <v>13838.08</v>
      </c>
      <c r="H1157" t="s">
        <v>15</v>
      </c>
      <c r="I1157">
        <v>31</v>
      </c>
    </row>
    <row r="1158" spans="1:9" hidden="1" x14ac:dyDescent="0.3">
      <c r="A1158" t="s">
        <v>1196</v>
      </c>
      <c r="B1158" t="s">
        <v>46</v>
      </c>
      <c r="D1158" t="s">
        <v>24</v>
      </c>
      <c r="F1158" t="s">
        <v>25</v>
      </c>
      <c r="G1158" s="2">
        <v>7248.36</v>
      </c>
      <c r="H1158" t="s">
        <v>20</v>
      </c>
      <c r="I1158">
        <v>58</v>
      </c>
    </row>
    <row r="1159" spans="1:9" hidden="1" x14ac:dyDescent="0.3">
      <c r="A1159" t="s">
        <v>1197</v>
      </c>
      <c r="B1159" t="s">
        <v>22</v>
      </c>
      <c r="D1159" t="s">
        <v>28</v>
      </c>
      <c r="F1159" t="s">
        <v>29</v>
      </c>
      <c r="G1159" s="2">
        <v>6963.93</v>
      </c>
      <c r="H1159" t="s">
        <v>35</v>
      </c>
      <c r="I1159">
        <v>60</v>
      </c>
    </row>
    <row r="1160" spans="1:9" hidden="1" x14ac:dyDescent="0.3">
      <c r="A1160" t="s">
        <v>1198</v>
      </c>
      <c r="B1160" t="s">
        <v>46</v>
      </c>
      <c r="D1160" t="s">
        <v>13</v>
      </c>
      <c r="F1160" t="s">
        <v>14</v>
      </c>
      <c r="G1160" s="2">
        <v>4525.1899999999996</v>
      </c>
      <c r="H1160" t="s">
        <v>35</v>
      </c>
      <c r="I1160">
        <v>21</v>
      </c>
    </row>
    <row r="1161" spans="1:9" hidden="1" x14ac:dyDescent="0.3">
      <c r="A1161" t="s">
        <v>1199</v>
      </c>
      <c r="B1161" t="s">
        <v>27</v>
      </c>
      <c r="D1161" t="s">
        <v>13</v>
      </c>
      <c r="F1161" t="s">
        <v>14</v>
      </c>
      <c r="G1161" s="2">
        <v>329.84</v>
      </c>
      <c r="H1161" t="s">
        <v>20</v>
      </c>
      <c r="I1161">
        <v>22</v>
      </c>
    </row>
    <row r="1162" spans="1:9" hidden="1" x14ac:dyDescent="0.3">
      <c r="A1162" t="s">
        <v>1200</v>
      </c>
      <c r="B1162" t="s">
        <v>27</v>
      </c>
      <c r="D1162" t="s">
        <v>9</v>
      </c>
      <c r="F1162" t="s">
        <v>10</v>
      </c>
      <c r="G1162" s="2">
        <v>14545.72</v>
      </c>
      <c r="H1162" t="s">
        <v>15</v>
      </c>
      <c r="I1162">
        <v>2</v>
      </c>
    </row>
    <row r="1163" spans="1:9" hidden="1" x14ac:dyDescent="0.3">
      <c r="A1163" t="s">
        <v>1201</v>
      </c>
      <c r="B1163" t="s">
        <v>54</v>
      </c>
      <c r="D1163" t="s">
        <v>56</v>
      </c>
      <c r="F1163" t="s">
        <v>57</v>
      </c>
      <c r="G1163" s="2">
        <v>9416.34</v>
      </c>
      <c r="H1163" t="s">
        <v>35</v>
      </c>
      <c r="I1163">
        <v>37</v>
      </c>
    </row>
    <row r="1164" spans="1:9" hidden="1" x14ac:dyDescent="0.3">
      <c r="A1164" t="s">
        <v>1202</v>
      </c>
      <c r="B1164" t="s">
        <v>27</v>
      </c>
      <c r="D1164" t="s">
        <v>56</v>
      </c>
      <c r="F1164" t="s">
        <v>57</v>
      </c>
      <c r="G1164" s="2">
        <v>2851.31</v>
      </c>
      <c r="H1164" t="s">
        <v>11</v>
      </c>
      <c r="I1164">
        <v>0</v>
      </c>
    </row>
    <row r="1165" spans="1:9" hidden="1" x14ac:dyDescent="0.3">
      <c r="A1165" t="s">
        <v>1203</v>
      </c>
      <c r="B1165" t="s">
        <v>27</v>
      </c>
      <c r="D1165" t="s">
        <v>99</v>
      </c>
      <c r="F1165" t="s">
        <v>29</v>
      </c>
      <c r="G1165" s="2">
        <v>4108.8900000000003</v>
      </c>
      <c r="H1165" t="s">
        <v>11</v>
      </c>
      <c r="I1165">
        <v>0</v>
      </c>
    </row>
    <row r="1166" spans="1:9" x14ac:dyDescent="0.3">
      <c r="A1166" t="s">
        <v>1204</v>
      </c>
      <c r="B1166" t="s">
        <v>37</v>
      </c>
      <c r="D1166" t="s">
        <v>40</v>
      </c>
      <c r="F1166" t="s">
        <v>41</v>
      </c>
      <c r="G1166" s="2">
        <v>12450.39</v>
      </c>
      <c r="H1166" t="s">
        <v>15</v>
      </c>
      <c r="I1166">
        <v>34</v>
      </c>
    </row>
    <row r="1167" spans="1:9" hidden="1" x14ac:dyDescent="0.3">
      <c r="A1167" t="s">
        <v>1205</v>
      </c>
      <c r="B1167" t="s">
        <v>17</v>
      </c>
      <c r="D1167" t="s">
        <v>24</v>
      </c>
      <c r="F1167" t="s">
        <v>25</v>
      </c>
      <c r="G1167" s="2">
        <v>1727.86</v>
      </c>
      <c r="H1167" t="s">
        <v>35</v>
      </c>
      <c r="I1167">
        <v>50</v>
      </c>
    </row>
    <row r="1168" spans="1:9" hidden="1" x14ac:dyDescent="0.3">
      <c r="A1168" t="s">
        <v>1206</v>
      </c>
      <c r="B1168" t="s">
        <v>17</v>
      </c>
      <c r="D1168" t="s">
        <v>9</v>
      </c>
      <c r="F1168" t="s">
        <v>10</v>
      </c>
      <c r="G1168" s="2">
        <v>6684.42</v>
      </c>
      <c r="H1168" t="s">
        <v>11</v>
      </c>
      <c r="I1168">
        <v>0</v>
      </c>
    </row>
    <row r="1169" spans="1:9" hidden="1" x14ac:dyDescent="0.3">
      <c r="A1169" t="s">
        <v>1207</v>
      </c>
      <c r="B1169" t="s">
        <v>37</v>
      </c>
      <c r="D1169" t="s">
        <v>28</v>
      </c>
      <c r="F1169" t="s">
        <v>29</v>
      </c>
      <c r="G1169" s="2">
        <v>13858.37</v>
      </c>
      <c r="H1169" t="s">
        <v>35</v>
      </c>
      <c r="I1169">
        <v>34</v>
      </c>
    </row>
    <row r="1170" spans="1:9" hidden="1" x14ac:dyDescent="0.3">
      <c r="A1170" t="s">
        <v>1208</v>
      </c>
      <c r="B1170" t="s">
        <v>46</v>
      </c>
      <c r="D1170" t="s">
        <v>28</v>
      </c>
      <c r="F1170" t="s">
        <v>29</v>
      </c>
      <c r="G1170" s="2">
        <v>2192.2600000000002</v>
      </c>
      <c r="H1170" t="s">
        <v>35</v>
      </c>
      <c r="I1170">
        <v>53</v>
      </c>
    </row>
    <row r="1171" spans="1:9" hidden="1" x14ac:dyDescent="0.3">
      <c r="A1171" t="s">
        <v>1209</v>
      </c>
      <c r="B1171" t="s">
        <v>22</v>
      </c>
      <c r="D1171" t="s">
        <v>24</v>
      </c>
      <c r="F1171" t="s">
        <v>25</v>
      </c>
      <c r="G1171" s="2">
        <v>3117.55</v>
      </c>
      <c r="H1171" t="s">
        <v>11</v>
      </c>
      <c r="I1171">
        <v>0</v>
      </c>
    </row>
    <row r="1172" spans="1:9" hidden="1" x14ac:dyDescent="0.3">
      <c r="A1172" t="s">
        <v>1210</v>
      </c>
      <c r="B1172" t="s">
        <v>8</v>
      </c>
      <c r="D1172" t="s">
        <v>62</v>
      </c>
      <c r="F1172" t="s">
        <v>19</v>
      </c>
      <c r="G1172" s="2">
        <v>13988.44</v>
      </c>
      <c r="H1172" t="s">
        <v>20</v>
      </c>
      <c r="I1172">
        <v>39</v>
      </c>
    </row>
    <row r="1173" spans="1:9" hidden="1" x14ac:dyDescent="0.3">
      <c r="A1173" t="s">
        <v>1211</v>
      </c>
      <c r="B1173" t="s">
        <v>22</v>
      </c>
      <c r="D1173" t="s">
        <v>28</v>
      </c>
      <c r="F1173" t="s">
        <v>29</v>
      </c>
      <c r="G1173" s="2">
        <v>7029.79</v>
      </c>
      <c r="H1173" t="s">
        <v>11</v>
      </c>
      <c r="I1173">
        <v>0</v>
      </c>
    </row>
    <row r="1174" spans="1:9" hidden="1" x14ac:dyDescent="0.3">
      <c r="A1174" t="s">
        <v>1212</v>
      </c>
      <c r="B1174" t="s">
        <v>27</v>
      </c>
      <c r="D1174" t="s">
        <v>32</v>
      </c>
      <c r="F1174" t="s">
        <v>33</v>
      </c>
      <c r="G1174" s="2">
        <v>11389.48</v>
      </c>
      <c r="H1174" t="s">
        <v>20</v>
      </c>
      <c r="I1174">
        <v>14</v>
      </c>
    </row>
    <row r="1175" spans="1:9" hidden="1" x14ac:dyDescent="0.3">
      <c r="A1175" t="s">
        <v>1213</v>
      </c>
      <c r="B1175" t="s">
        <v>8</v>
      </c>
      <c r="D1175" t="s">
        <v>18</v>
      </c>
      <c r="F1175" t="s">
        <v>19</v>
      </c>
      <c r="G1175" s="2">
        <v>2928.56</v>
      </c>
      <c r="H1175" t="s">
        <v>11</v>
      </c>
      <c r="I1175">
        <v>6</v>
      </c>
    </row>
    <row r="1176" spans="1:9" hidden="1" x14ac:dyDescent="0.3">
      <c r="A1176" t="s">
        <v>1214</v>
      </c>
      <c r="B1176" t="s">
        <v>17</v>
      </c>
      <c r="D1176" t="s">
        <v>62</v>
      </c>
      <c r="F1176" t="s">
        <v>19</v>
      </c>
      <c r="G1176" s="2">
        <v>2282.34</v>
      </c>
      <c r="H1176" t="s">
        <v>11</v>
      </c>
      <c r="I1176">
        <v>0</v>
      </c>
    </row>
    <row r="1177" spans="1:9" hidden="1" x14ac:dyDescent="0.3">
      <c r="A1177" t="s">
        <v>1215</v>
      </c>
      <c r="B1177" t="s">
        <v>37</v>
      </c>
      <c r="D1177" t="s">
        <v>13</v>
      </c>
      <c r="F1177" t="s">
        <v>14</v>
      </c>
      <c r="G1177" s="2">
        <v>5287.26</v>
      </c>
      <c r="H1177" t="s">
        <v>15</v>
      </c>
      <c r="I1177">
        <v>10</v>
      </c>
    </row>
    <row r="1178" spans="1:9" hidden="1" x14ac:dyDescent="0.3">
      <c r="A1178" t="s">
        <v>1216</v>
      </c>
      <c r="B1178" t="s">
        <v>46</v>
      </c>
      <c r="D1178" t="s">
        <v>32</v>
      </c>
      <c r="F1178" t="s">
        <v>33</v>
      </c>
      <c r="G1178" s="2">
        <v>3710.13</v>
      </c>
      <c r="H1178" t="s">
        <v>11</v>
      </c>
      <c r="I1178">
        <v>0</v>
      </c>
    </row>
    <row r="1179" spans="1:9" x14ac:dyDescent="0.3">
      <c r="A1179" t="s">
        <v>1217</v>
      </c>
      <c r="B1179" t="s">
        <v>8</v>
      </c>
      <c r="D1179" t="s">
        <v>40</v>
      </c>
      <c r="F1179" t="s">
        <v>41</v>
      </c>
      <c r="G1179" s="2">
        <v>808.36</v>
      </c>
      <c r="H1179" t="s">
        <v>11</v>
      </c>
      <c r="I1179">
        <v>0</v>
      </c>
    </row>
    <row r="1180" spans="1:9" hidden="1" x14ac:dyDescent="0.3">
      <c r="A1180" t="s">
        <v>1218</v>
      </c>
      <c r="B1180" t="s">
        <v>54</v>
      </c>
      <c r="D1180" t="s">
        <v>56</v>
      </c>
      <c r="F1180" t="s">
        <v>57</v>
      </c>
      <c r="G1180" s="2">
        <v>854.31</v>
      </c>
      <c r="H1180" t="s">
        <v>15</v>
      </c>
      <c r="I1180">
        <v>12</v>
      </c>
    </row>
    <row r="1181" spans="1:9" hidden="1" x14ac:dyDescent="0.3">
      <c r="A1181" t="s">
        <v>1219</v>
      </c>
      <c r="B1181" t="s">
        <v>54</v>
      </c>
      <c r="D1181" t="s">
        <v>32</v>
      </c>
      <c r="F1181" t="s">
        <v>33</v>
      </c>
      <c r="G1181" s="2">
        <v>9460.59</v>
      </c>
      <c r="H1181" t="s">
        <v>20</v>
      </c>
      <c r="I1181">
        <v>29</v>
      </c>
    </row>
    <row r="1182" spans="1:9" hidden="1" x14ac:dyDescent="0.3">
      <c r="A1182" t="s">
        <v>1220</v>
      </c>
      <c r="B1182" t="s">
        <v>46</v>
      </c>
      <c r="D1182" t="s">
        <v>28</v>
      </c>
      <c r="F1182" t="s">
        <v>29</v>
      </c>
      <c r="G1182" s="2">
        <v>4720.99</v>
      </c>
      <c r="H1182" t="s">
        <v>35</v>
      </c>
      <c r="I1182">
        <v>46</v>
      </c>
    </row>
    <row r="1183" spans="1:9" hidden="1" x14ac:dyDescent="0.3">
      <c r="A1183" t="s">
        <v>1221</v>
      </c>
      <c r="B1183" t="s">
        <v>54</v>
      </c>
      <c r="D1183" t="s">
        <v>9</v>
      </c>
      <c r="F1183" t="s">
        <v>10</v>
      </c>
      <c r="G1183" s="2">
        <v>14606.54</v>
      </c>
      <c r="H1183" t="s">
        <v>35</v>
      </c>
      <c r="I1183">
        <v>30</v>
      </c>
    </row>
    <row r="1184" spans="1:9" hidden="1" x14ac:dyDescent="0.3">
      <c r="A1184" t="s">
        <v>1222</v>
      </c>
      <c r="B1184" t="s">
        <v>52</v>
      </c>
      <c r="D1184" t="s">
        <v>24</v>
      </c>
      <c r="F1184" t="s">
        <v>25</v>
      </c>
      <c r="G1184" s="2">
        <v>1439.1</v>
      </c>
      <c r="H1184" t="s">
        <v>35</v>
      </c>
      <c r="I1184">
        <v>45</v>
      </c>
    </row>
    <row r="1185" spans="1:9" hidden="1" x14ac:dyDescent="0.3">
      <c r="A1185" t="s">
        <v>1223</v>
      </c>
      <c r="B1185" t="s">
        <v>52</v>
      </c>
      <c r="D1185" t="s">
        <v>9</v>
      </c>
      <c r="F1185" t="s">
        <v>10</v>
      </c>
      <c r="G1185" s="2">
        <v>6860.98</v>
      </c>
      <c r="H1185" t="s">
        <v>20</v>
      </c>
      <c r="I1185">
        <v>46</v>
      </c>
    </row>
    <row r="1186" spans="1:9" x14ac:dyDescent="0.3">
      <c r="A1186" t="s">
        <v>1224</v>
      </c>
      <c r="B1186" t="s">
        <v>27</v>
      </c>
      <c r="D1186" t="s">
        <v>40</v>
      </c>
      <c r="F1186" t="s">
        <v>41</v>
      </c>
      <c r="G1186" s="2">
        <v>3513.83</v>
      </c>
      <c r="H1186" t="s">
        <v>11</v>
      </c>
      <c r="I1186">
        <v>0</v>
      </c>
    </row>
    <row r="1187" spans="1:9" hidden="1" x14ac:dyDescent="0.3">
      <c r="A1187" t="s">
        <v>1225</v>
      </c>
      <c r="B1187" t="s">
        <v>27</v>
      </c>
      <c r="D1187" t="s">
        <v>56</v>
      </c>
      <c r="F1187" t="s">
        <v>57</v>
      </c>
      <c r="G1187" s="2">
        <v>2791.13</v>
      </c>
      <c r="H1187" t="s">
        <v>47</v>
      </c>
      <c r="I1187">
        <v>22</v>
      </c>
    </row>
    <row r="1188" spans="1:9" x14ac:dyDescent="0.3">
      <c r="A1188" t="s">
        <v>1226</v>
      </c>
      <c r="B1188" t="s">
        <v>52</v>
      </c>
      <c r="D1188" t="s">
        <v>40</v>
      </c>
      <c r="F1188" t="s">
        <v>41</v>
      </c>
      <c r="G1188" s="2">
        <v>7338.23</v>
      </c>
      <c r="H1188" t="s">
        <v>11</v>
      </c>
      <c r="I1188">
        <v>0</v>
      </c>
    </row>
    <row r="1189" spans="1:9" x14ac:dyDescent="0.3">
      <c r="A1189" t="s">
        <v>1227</v>
      </c>
      <c r="B1189" t="s">
        <v>54</v>
      </c>
      <c r="D1189" t="s">
        <v>40</v>
      </c>
      <c r="F1189" t="s">
        <v>41</v>
      </c>
      <c r="G1189" s="2">
        <v>12694.21</v>
      </c>
      <c r="H1189" t="s">
        <v>15</v>
      </c>
      <c r="I1189">
        <v>23</v>
      </c>
    </row>
    <row r="1190" spans="1:9" hidden="1" x14ac:dyDescent="0.3">
      <c r="A1190" t="s">
        <v>1228</v>
      </c>
      <c r="B1190" t="s">
        <v>27</v>
      </c>
      <c r="D1190" t="s">
        <v>32</v>
      </c>
      <c r="F1190" t="s">
        <v>33</v>
      </c>
      <c r="G1190" s="2">
        <v>1954.54</v>
      </c>
      <c r="H1190" t="s">
        <v>11</v>
      </c>
      <c r="I1190">
        <v>0</v>
      </c>
    </row>
    <row r="1191" spans="1:9" hidden="1" x14ac:dyDescent="0.3">
      <c r="A1191" t="s">
        <v>1229</v>
      </c>
      <c r="B1191" t="s">
        <v>52</v>
      </c>
      <c r="D1191" t="s">
        <v>13</v>
      </c>
      <c r="F1191" t="s">
        <v>14</v>
      </c>
      <c r="G1191" s="2">
        <v>9759.2999999999993</v>
      </c>
      <c r="H1191" t="s">
        <v>35</v>
      </c>
      <c r="I1191">
        <v>35</v>
      </c>
    </row>
    <row r="1192" spans="1:9" hidden="1" x14ac:dyDescent="0.3">
      <c r="A1192" t="s">
        <v>1230</v>
      </c>
      <c r="B1192" t="s">
        <v>52</v>
      </c>
      <c r="D1192" t="s">
        <v>56</v>
      </c>
      <c r="F1192" t="s">
        <v>57</v>
      </c>
      <c r="G1192" s="2">
        <v>8878.51</v>
      </c>
      <c r="H1192" t="s">
        <v>11</v>
      </c>
      <c r="I1192">
        <v>0</v>
      </c>
    </row>
    <row r="1193" spans="1:9" hidden="1" x14ac:dyDescent="0.3">
      <c r="A1193" t="s">
        <v>1231</v>
      </c>
      <c r="B1193" t="s">
        <v>31</v>
      </c>
      <c r="D1193" t="s">
        <v>56</v>
      </c>
      <c r="F1193" t="s">
        <v>57</v>
      </c>
      <c r="G1193" s="2">
        <v>1037.5999999999999</v>
      </c>
      <c r="H1193" t="s">
        <v>11</v>
      </c>
      <c r="I1193">
        <v>12</v>
      </c>
    </row>
    <row r="1194" spans="1:9" hidden="1" x14ac:dyDescent="0.3">
      <c r="A1194" t="s">
        <v>1232</v>
      </c>
      <c r="B1194" t="s">
        <v>44</v>
      </c>
      <c r="D1194" t="s">
        <v>32</v>
      </c>
      <c r="F1194" t="s">
        <v>33</v>
      </c>
      <c r="G1194" s="2">
        <v>11820.54</v>
      </c>
      <c r="H1194" t="s">
        <v>15</v>
      </c>
      <c r="I1194">
        <v>16</v>
      </c>
    </row>
    <row r="1195" spans="1:9" hidden="1" x14ac:dyDescent="0.3">
      <c r="A1195" t="s">
        <v>1233</v>
      </c>
      <c r="B1195" t="s">
        <v>52</v>
      </c>
      <c r="D1195" t="s">
        <v>9</v>
      </c>
      <c r="F1195" t="s">
        <v>10</v>
      </c>
      <c r="G1195" s="2">
        <v>11103.54</v>
      </c>
      <c r="H1195" t="s">
        <v>20</v>
      </c>
      <c r="I1195">
        <v>54</v>
      </c>
    </row>
    <row r="1196" spans="1:9" hidden="1" x14ac:dyDescent="0.3">
      <c r="A1196" t="s">
        <v>1234</v>
      </c>
      <c r="B1196" t="s">
        <v>8</v>
      </c>
      <c r="D1196" t="s">
        <v>9</v>
      </c>
      <c r="F1196" t="s">
        <v>10</v>
      </c>
      <c r="G1196" s="2">
        <v>8902.84</v>
      </c>
      <c r="H1196" t="s">
        <v>15</v>
      </c>
      <c r="I1196">
        <v>36</v>
      </c>
    </row>
    <row r="1197" spans="1:9" x14ac:dyDescent="0.3">
      <c r="A1197" t="s">
        <v>1235</v>
      </c>
      <c r="B1197" t="s">
        <v>54</v>
      </c>
      <c r="D1197" t="s">
        <v>40</v>
      </c>
      <c r="F1197" t="s">
        <v>41</v>
      </c>
      <c r="G1197" s="2">
        <v>2683.8</v>
      </c>
      <c r="H1197" t="s">
        <v>47</v>
      </c>
      <c r="I1197">
        <v>5</v>
      </c>
    </row>
    <row r="1198" spans="1:9" hidden="1" x14ac:dyDescent="0.3">
      <c r="A1198" t="s">
        <v>1236</v>
      </c>
      <c r="B1198" t="s">
        <v>31</v>
      </c>
      <c r="D1198" t="s">
        <v>9</v>
      </c>
      <c r="F1198" t="s">
        <v>10</v>
      </c>
      <c r="G1198" s="2">
        <v>10298.35</v>
      </c>
      <c r="H1198" t="s">
        <v>20</v>
      </c>
      <c r="I1198">
        <v>53</v>
      </c>
    </row>
    <row r="1199" spans="1:9" hidden="1" x14ac:dyDescent="0.3">
      <c r="A1199" t="s">
        <v>1237</v>
      </c>
      <c r="B1199" t="s">
        <v>17</v>
      </c>
      <c r="D1199" t="s">
        <v>28</v>
      </c>
      <c r="F1199" t="s">
        <v>29</v>
      </c>
      <c r="G1199" s="2">
        <v>7439.71</v>
      </c>
      <c r="H1199" t="s">
        <v>20</v>
      </c>
      <c r="I1199">
        <v>6</v>
      </c>
    </row>
    <row r="1200" spans="1:9" hidden="1" x14ac:dyDescent="0.3">
      <c r="A1200" t="s">
        <v>1238</v>
      </c>
      <c r="B1200" t="s">
        <v>22</v>
      </c>
      <c r="D1200" t="s">
        <v>24</v>
      </c>
      <c r="F1200" t="s">
        <v>25</v>
      </c>
      <c r="G1200" s="2">
        <v>13314.56</v>
      </c>
      <c r="H1200" t="s">
        <v>47</v>
      </c>
      <c r="I1200">
        <v>41</v>
      </c>
    </row>
    <row r="1201" spans="1:9" hidden="1" x14ac:dyDescent="0.3">
      <c r="A1201" t="s">
        <v>1239</v>
      </c>
      <c r="B1201" t="s">
        <v>31</v>
      </c>
      <c r="D1201" t="s">
        <v>24</v>
      </c>
      <c r="F1201" t="s">
        <v>25</v>
      </c>
      <c r="G1201" s="2">
        <v>9930.18</v>
      </c>
      <c r="H1201" t="s">
        <v>15</v>
      </c>
      <c r="I1201">
        <v>19</v>
      </c>
    </row>
    <row r="1202" spans="1:9" hidden="1" x14ac:dyDescent="0.3">
      <c r="A1202" t="s">
        <v>1240</v>
      </c>
      <c r="B1202" t="s">
        <v>37</v>
      </c>
      <c r="D1202" t="s">
        <v>32</v>
      </c>
      <c r="F1202" t="s">
        <v>33</v>
      </c>
      <c r="G1202" s="2">
        <v>8690.07</v>
      </c>
      <c r="H1202" t="s">
        <v>11</v>
      </c>
      <c r="I1202">
        <v>0</v>
      </c>
    </row>
    <row r="1203" spans="1:9" hidden="1" x14ac:dyDescent="0.3">
      <c r="A1203" t="s">
        <v>1241</v>
      </c>
      <c r="B1203" t="s">
        <v>31</v>
      </c>
      <c r="D1203" t="s">
        <v>32</v>
      </c>
      <c r="F1203" t="s">
        <v>33</v>
      </c>
      <c r="G1203" s="2">
        <v>11925.48</v>
      </c>
      <c r="H1203" t="s">
        <v>20</v>
      </c>
      <c r="I1203">
        <v>59</v>
      </c>
    </row>
    <row r="1204" spans="1:9" hidden="1" x14ac:dyDescent="0.3">
      <c r="A1204" t="s">
        <v>1242</v>
      </c>
      <c r="B1204" t="s">
        <v>46</v>
      </c>
      <c r="D1204" t="s">
        <v>28</v>
      </c>
      <c r="F1204" t="s">
        <v>29</v>
      </c>
      <c r="G1204" s="2">
        <v>14854.82</v>
      </c>
      <c r="H1204" t="s">
        <v>20</v>
      </c>
      <c r="I1204">
        <v>40</v>
      </c>
    </row>
    <row r="1205" spans="1:9" hidden="1" x14ac:dyDescent="0.3">
      <c r="A1205" t="s">
        <v>1243</v>
      </c>
      <c r="B1205" t="s">
        <v>27</v>
      </c>
      <c r="D1205" t="s">
        <v>56</v>
      </c>
      <c r="F1205" t="s">
        <v>57</v>
      </c>
      <c r="G1205" s="2">
        <v>12722.17</v>
      </c>
      <c r="H1205" t="s">
        <v>35</v>
      </c>
      <c r="I1205">
        <v>4</v>
      </c>
    </row>
    <row r="1206" spans="1:9" hidden="1" x14ac:dyDescent="0.3">
      <c r="A1206" t="s">
        <v>1244</v>
      </c>
      <c r="B1206" t="s">
        <v>8</v>
      </c>
      <c r="D1206" t="s">
        <v>13</v>
      </c>
      <c r="F1206" t="s">
        <v>14</v>
      </c>
      <c r="G1206" s="2">
        <v>14520.1</v>
      </c>
      <c r="H1206" t="s">
        <v>11</v>
      </c>
      <c r="I1206">
        <v>0</v>
      </c>
    </row>
    <row r="1207" spans="1:9" hidden="1" x14ac:dyDescent="0.3">
      <c r="A1207" t="s">
        <v>1245</v>
      </c>
      <c r="B1207" t="s">
        <v>27</v>
      </c>
      <c r="D1207" t="s">
        <v>62</v>
      </c>
      <c r="F1207" t="s">
        <v>19</v>
      </c>
      <c r="G1207" s="2">
        <v>12991.91</v>
      </c>
      <c r="H1207" t="s">
        <v>11</v>
      </c>
      <c r="I1207">
        <v>12</v>
      </c>
    </row>
    <row r="1208" spans="1:9" hidden="1" x14ac:dyDescent="0.3">
      <c r="A1208" t="s">
        <v>1246</v>
      </c>
      <c r="B1208" t="s">
        <v>44</v>
      </c>
      <c r="D1208" t="s">
        <v>56</v>
      </c>
      <c r="F1208" t="s">
        <v>57</v>
      </c>
      <c r="G1208" s="2">
        <v>6120.19</v>
      </c>
      <c r="H1208" t="s">
        <v>15</v>
      </c>
      <c r="I1208">
        <v>14</v>
      </c>
    </row>
    <row r="1209" spans="1:9" x14ac:dyDescent="0.3">
      <c r="A1209" t="s">
        <v>1247</v>
      </c>
      <c r="B1209" t="s">
        <v>27</v>
      </c>
      <c r="D1209" t="s">
        <v>40</v>
      </c>
      <c r="F1209" t="s">
        <v>41</v>
      </c>
      <c r="G1209" s="2">
        <v>2129.08</v>
      </c>
      <c r="H1209" t="s">
        <v>20</v>
      </c>
      <c r="I1209">
        <v>54</v>
      </c>
    </row>
    <row r="1210" spans="1:9" hidden="1" x14ac:dyDescent="0.3">
      <c r="A1210" t="s">
        <v>1248</v>
      </c>
      <c r="B1210" t="s">
        <v>44</v>
      </c>
      <c r="D1210" t="s">
        <v>56</v>
      </c>
      <c r="F1210" t="s">
        <v>57</v>
      </c>
      <c r="G1210" s="2">
        <v>2356.3000000000002</v>
      </c>
      <c r="H1210" t="s">
        <v>47</v>
      </c>
      <c r="I1210">
        <v>43</v>
      </c>
    </row>
    <row r="1211" spans="1:9" hidden="1" x14ac:dyDescent="0.3">
      <c r="A1211" t="s">
        <v>1249</v>
      </c>
      <c r="B1211" t="s">
        <v>52</v>
      </c>
      <c r="D1211" t="s">
        <v>24</v>
      </c>
      <c r="F1211" t="s">
        <v>25</v>
      </c>
      <c r="G1211" s="2">
        <v>223.46</v>
      </c>
      <c r="H1211" t="s">
        <v>20</v>
      </c>
      <c r="I1211">
        <v>10</v>
      </c>
    </row>
    <row r="1212" spans="1:9" hidden="1" x14ac:dyDescent="0.3">
      <c r="A1212" t="s">
        <v>1250</v>
      </c>
      <c r="B1212" t="s">
        <v>52</v>
      </c>
      <c r="D1212" t="s">
        <v>56</v>
      </c>
      <c r="F1212" t="s">
        <v>57</v>
      </c>
      <c r="G1212" s="2">
        <v>14625.88</v>
      </c>
      <c r="H1212" t="s">
        <v>11</v>
      </c>
      <c r="I1212">
        <v>3</v>
      </c>
    </row>
    <row r="1213" spans="1:9" hidden="1" x14ac:dyDescent="0.3">
      <c r="A1213" t="s">
        <v>1251</v>
      </c>
      <c r="B1213" t="s">
        <v>46</v>
      </c>
      <c r="D1213" t="s">
        <v>32</v>
      </c>
      <c r="F1213" t="s">
        <v>33</v>
      </c>
      <c r="G1213" s="2">
        <v>13958.15</v>
      </c>
      <c r="H1213" t="s">
        <v>20</v>
      </c>
      <c r="I1213">
        <v>30</v>
      </c>
    </row>
    <row r="1214" spans="1:9" hidden="1" x14ac:dyDescent="0.3">
      <c r="A1214" t="s">
        <v>1252</v>
      </c>
      <c r="B1214" t="s">
        <v>17</v>
      </c>
      <c r="D1214" t="s">
        <v>56</v>
      </c>
      <c r="F1214" t="s">
        <v>57</v>
      </c>
      <c r="G1214" s="2">
        <v>8303.15</v>
      </c>
      <c r="H1214" t="s">
        <v>15</v>
      </c>
      <c r="I1214">
        <v>23</v>
      </c>
    </row>
    <row r="1215" spans="1:9" hidden="1" x14ac:dyDescent="0.3">
      <c r="A1215" t="s">
        <v>1253</v>
      </c>
      <c r="B1215" t="s">
        <v>46</v>
      </c>
      <c r="D1215" t="s">
        <v>24</v>
      </c>
      <c r="F1215" t="s">
        <v>25</v>
      </c>
      <c r="G1215" s="2">
        <v>6400.34</v>
      </c>
      <c r="H1215" t="s">
        <v>11</v>
      </c>
      <c r="I1215">
        <v>0</v>
      </c>
    </row>
    <row r="1216" spans="1:9" hidden="1" x14ac:dyDescent="0.3">
      <c r="A1216" t="s">
        <v>1254</v>
      </c>
      <c r="B1216" t="s">
        <v>22</v>
      </c>
      <c r="D1216" t="s">
        <v>62</v>
      </c>
      <c r="F1216" t="s">
        <v>19</v>
      </c>
      <c r="G1216" s="2">
        <v>6192.03</v>
      </c>
      <c r="H1216" t="s">
        <v>15</v>
      </c>
      <c r="I1216">
        <v>24</v>
      </c>
    </row>
    <row r="1217" spans="1:9" hidden="1" x14ac:dyDescent="0.3">
      <c r="A1217" t="s">
        <v>1255</v>
      </c>
      <c r="B1217" t="s">
        <v>54</v>
      </c>
      <c r="D1217" t="s">
        <v>99</v>
      </c>
      <c r="F1217" t="s">
        <v>29</v>
      </c>
      <c r="G1217" s="2">
        <v>8543.84</v>
      </c>
      <c r="H1217" t="s">
        <v>20</v>
      </c>
      <c r="I1217">
        <v>8</v>
      </c>
    </row>
    <row r="1218" spans="1:9" x14ac:dyDescent="0.3">
      <c r="A1218" t="s">
        <v>1256</v>
      </c>
      <c r="B1218" t="s">
        <v>52</v>
      </c>
      <c r="D1218" t="s">
        <v>40</v>
      </c>
      <c r="F1218" t="s">
        <v>41</v>
      </c>
      <c r="G1218" s="2">
        <v>14427.98</v>
      </c>
      <c r="H1218" t="s">
        <v>11</v>
      </c>
      <c r="I1218">
        <v>0</v>
      </c>
    </row>
    <row r="1219" spans="1:9" hidden="1" x14ac:dyDescent="0.3">
      <c r="A1219" t="s">
        <v>1257</v>
      </c>
      <c r="B1219" t="s">
        <v>17</v>
      </c>
      <c r="D1219" t="s">
        <v>13</v>
      </c>
      <c r="F1219" t="s">
        <v>14</v>
      </c>
      <c r="G1219" s="2">
        <v>1219.6099999999999</v>
      </c>
      <c r="H1219" t="s">
        <v>47</v>
      </c>
      <c r="I1219">
        <v>6</v>
      </c>
    </row>
    <row r="1220" spans="1:9" x14ac:dyDescent="0.3">
      <c r="A1220" t="s">
        <v>1258</v>
      </c>
      <c r="B1220" t="s">
        <v>8</v>
      </c>
      <c r="D1220" t="s">
        <v>40</v>
      </c>
      <c r="F1220" t="s">
        <v>41</v>
      </c>
      <c r="G1220" s="2">
        <v>9478.41</v>
      </c>
      <c r="H1220" t="s">
        <v>20</v>
      </c>
      <c r="I1220">
        <v>43</v>
      </c>
    </row>
    <row r="1221" spans="1:9" hidden="1" x14ac:dyDescent="0.3">
      <c r="A1221" t="s">
        <v>1259</v>
      </c>
      <c r="B1221" t="s">
        <v>27</v>
      </c>
      <c r="D1221" t="s">
        <v>13</v>
      </c>
      <c r="F1221" t="s">
        <v>14</v>
      </c>
      <c r="G1221" s="2">
        <v>11981.57</v>
      </c>
      <c r="H1221" t="s">
        <v>15</v>
      </c>
      <c r="I1221">
        <v>4</v>
      </c>
    </row>
    <row r="1222" spans="1:9" hidden="1" x14ac:dyDescent="0.3">
      <c r="A1222" t="s">
        <v>1260</v>
      </c>
      <c r="B1222" t="s">
        <v>52</v>
      </c>
      <c r="D1222" t="s">
        <v>13</v>
      </c>
      <c r="F1222" t="s">
        <v>14</v>
      </c>
      <c r="G1222" s="2">
        <v>11688.98</v>
      </c>
      <c r="H1222" t="s">
        <v>15</v>
      </c>
      <c r="I1222">
        <v>33</v>
      </c>
    </row>
    <row r="1223" spans="1:9" hidden="1" x14ac:dyDescent="0.3">
      <c r="A1223" t="s">
        <v>1261</v>
      </c>
      <c r="B1223" t="s">
        <v>37</v>
      </c>
      <c r="D1223" t="s">
        <v>32</v>
      </c>
      <c r="F1223" t="s">
        <v>33</v>
      </c>
      <c r="G1223" s="2">
        <v>11020.53</v>
      </c>
      <c r="H1223" t="s">
        <v>15</v>
      </c>
      <c r="I1223">
        <v>52</v>
      </c>
    </row>
    <row r="1224" spans="1:9" hidden="1" x14ac:dyDescent="0.3">
      <c r="A1224" t="s">
        <v>1262</v>
      </c>
      <c r="B1224" t="s">
        <v>37</v>
      </c>
      <c r="D1224" t="s">
        <v>62</v>
      </c>
      <c r="F1224" t="s">
        <v>19</v>
      </c>
      <c r="G1224" s="2">
        <v>2554.25</v>
      </c>
      <c r="H1224" t="s">
        <v>20</v>
      </c>
      <c r="I1224">
        <v>39</v>
      </c>
    </row>
    <row r="1225" spans="1:9" hidden="1" x14ac:dyDescent="0.3">
      <c r="A1225" t="s">
        <v>1263</v>
      </c>
      <c r="B1225" t="s">
        <v>44</v>
      </c>
      <c r="D1225" t="s">
        <v>32</v>
      </c>
      <c r="F1225" t="s">
        <v>33</v>
      </c>
      <c r="G1225" s="2">
        <v>3943.62</v>
      </c>
      <c r="H1225" t="s">
        <v>20</v>
      </c>
      <c r="I1225">
        <v>38</v>
      </c>
    </row>
    <row r="1226" spans="1:9" hidden="1" x14ac:dyDescent="0.3">
      <c r="A1226" t="s">
        <v>1264</v>
      </c>
      <c r="B1226" t="s">
        <v>54</v>
      </c>
      <c r="D1226" t="s">
        <v>32</v>
      </c>
      <c r="F1226" t="s">
        <v>33</v>
      </c>
      <c r="G1226" s="2">
        <v>821.72</v>
      </c>
      <c r="H1226" t="s">
        <v>47</v>
      </c>
      <c r="I1226">
        <v>52</v>
      </c>
    </row>
    <row r="1227" spans="1:9" hidden="1" x14ac:dyDescent="0.3">
      <c r="A1227" t="s">
        <v>1265</v>
      </c>
      <c r="B1227" t="s">
        <v>37</v>
      </c>
      <c r="D1227" t="s">
        <v>99</v>
      </c>
      <c r="F1227" t="s">
        <v>29</v>
      </c>
      <c r="G1227" s="2">
        <v>4337.8900000000003</v>
      </c>
      <c r="H1227" t="s">
        <v>11</v>
      </c>
      <c r="I1227">
        <v>0</v>
      </c>
    </row>
    <row r="1228" spans="1:9" hidden="1" x14ac:dyDescent="0.3">
      <c r="A1228" t="s">
        <v>1266</v>
      </c>
      <c r="B1228" t="s">
        <v>37</v>
      </c>
      <c r="D1228" t="s">
        <v>62</v>
      </c>
      <c r="F1228" t="s">
        <v>19</v>
      </c>
      <c r="G1228" s="2">
        <v>2031.45</v>
      </c>
      <c r="H1228" t="s">
        <v>15</v>
      </c>
      <c r="I1228">
        <v>55</v>
      </c>
    </row>
    <row r="1229" spans="1:9" hidden="1" x14ac:dyDescent="0.3">
      <c r="A1229" t="s">
        <v>1267</v>
      </c>
      <c r="B1229" t="s">
        <v>54</v>
      </c>
      <c r="D1229" t="s">
        <v>99</v>
      </c>
      <c r="F1229" t="s">
        <v>29</v>
      </c>
      <c r="G1229" s="2">
        <v>11134.37</v>
      </c>
      <c r="H1229" t="s">
        <v>20</v>
      </c>
      <c r="I1229">
        <v>59</v>
      </c>
    </row>
    <row r="1230" spans="1:9" hidden="1" x14ac:dyDescent="0.3">
      <c r="A1230" t="s">
        <v>1268</v>
      </c>
      <c r="B1230" t="s">
        <v>37</v>
      </c>
      <c r="D1230" t="s">
        <v>24</v>
      </c>
      <c r="F1230" t="s">
        <v>25</v>
      </c>
      <c r="G1230" s="2">
        <v>9904.3799999999992</v>
      </c>
      <c r="H1230" t="s">
        <v>15</v>
      </c>
      <c r="I1230">
        <v>12</v>
      </c>
    </row>
    <row r="1231" spans="1:9" hidden="1" x14ac:dyDescent="0.3">
      <c r="A1231" t="s">
        <v>1269</v>
      </c>
      <c r="B1231" t="s">
        <v>22</v>
      </c>
      <c r="D1231" t="s">
        <v>18</v>
      </c>
      <c r="F1231" t="s">
        <v>19</v>
      </c>
      <c r="G1231" s="2">
        <v>7299.53</v>
      </c>
      <c r="H1231" t="s">
        <v>35</v>
      </c>
      <c r="I1231">
        <v>56</v>
      </c>
    </row>
    <row r="1232" spans="1:9" hidden="1" x14ac:dyDescent="0.3">
      <c r="A1232" t="s">
        <v>1270</v>
      </c>
      <c r="B1232" t="s">
        <v>44</v>
      </c>
      <c r="D1232" t="s">
        <v>28</v>
      </c>
      <c r="F1232" t="s">
        <v>29</v>
      </c>
      <c r="G1232" s="2">
        <v>14761.87</v>
      </c>
      <c r="H1232" t="s">
        <v>47</v>
      </c>
      <c r="I1232">
        <v>39</v>
      </c>
    </row>
    <row r="1233" spans="1:9" x14ac:dyDescent="0.3">
      <c r="A1233" t="s">
        <v>1271</v>
      </c>
      <c r="B1233" t="s">
        <v>17</v>
      </c>
      <c r="D1233" t="s">
        <v>40</v>
      </c>
      <c r="F1233" t="s">
        <v>41</v>
      </c>
      <c r="G1233" s="2">
        <v>11303.78</v>
      </c>
      <c r="H1233" t="s">
        <v>15</v>
      </c>
      <c r="I1233">
        <v>25</v>
      </c>
    </row>
    <row r="1234" spans="1:9" x14ac:dyDescent="0.3">
      <c r="A1234" t="s">
        <v>1272</v>
      </c>
      <c r="B1234" t="s">
        <v>22</v>
      </c>
      <c r="D1234" t="s">
        <v>40</v>
      </c>
      <c r="F1234" t="s">
        <v>41</v>
      </c>
      <c r="G1234" s="2">
        <v>10903.69</v>
      </c>
      <c r="H1234" t="s">
        <v>11</v>
      </c>
      <c r="I1234">
        <v>0</v>
      </c>
    </row>
    <row r="1235" spans="1:9" hidden="1" x14ac:dyDescent="0.3">
      <c r="A1235" t="s">
        <v>1273</v>
      </c>
      <c r="B1235" t="s">
        <v>31</v>
      </c>
      <c r="D1235" t="s">
        <v>62</v>
      </c>
      <c r="F1235" t="s">
        <v>19</v>
      </c>
      <c r="G1235" s="2">
        <v>11344.48</v>
      </c>
      <c r="H1235" t="s">
        <v>11</v>
      </c>
      <c r="I1235">
        <v>3</v>
      </c>
    </row>
    <row r="1236" spans="1:9" x14ac:dyDescent="0.3">
      <c r="A1236" t="s">
        <v>1274</v>
      </c>
      <c r="B1236" t="s">
        <v>46</v>
      </c>
      <c r="D1236" t="s">
        <v>40</v>
      </c>
      <c r="F1236" t="s">
        <v>41</v>
      </c>
      <c r="G1236" s="2">
        <v>4555.4399999999996</v>
      </c>
      <c r="H1236" t="s">
        <v>35</v>
      </c>
      <c r="I1236">
        <v>49</v>
      </c>
    </row>
    <row r="1237" spans="1:9" hidden="1" x14ac:dyDescent="0.3">
      <c r="A1237" t="s">
        <v>1275</v>
      </c>
      <c r="B1237" t="s">
        <v>37</v>
      </c>
      <c r="D1237" t="s">
        <v>18</v>
      </c>
      <c r="F1237" t="s">
        <v>19</v>
      </c>
      <c r="G1237" s="2">
        <v>5728.02</v>
      </c>
      <c r="H1237" t="s">
        <v>20</v>
      </c>
      <c r="I1237">
        <v>31</v>
      </c>
    </row>
    <row r="1238" spans="1:9" hidden="1" x14ac:dyDescent="0.3">
      <c r="A1238" t="s">
        <v>1276</v>
      </c>
      <c r="B1238" t="s">
        <v>52</v>
      </c>
      <c r="D1238" t="s">
        <v>24</v>
      </c>
      <c r="F1238" t="s">
        <v>25</v>
      </c>
      <c r="G1238" s="2">
        <v>7980.11</v>
      </c>
      <c r="H1238" t="s">
        <v>15</v>
      </c>
      <c r="I1238">
        <v>19</v>
      </c>
    </row>
    <row r="1239" spans="1:9" hidden="1" x14ac:dyDescent="0.3">
      <c r="A1239" t="s">
        <v>1277</v>
      </c>
      <c r="B1239" t="s">
        <v>22</v>
      </c>
      <c r="D1239" t="s">
        <v>56</v>
      </c>
      <c r="F1239" t="s">
        <v>57</v>
      </c>
      <c r="G1239" s="2">
        <v>10193.48</v>
      </c>
      <c r="H1239" t="s">
        <v>47</v>
      </c>
      <c r="I1239">
        <v>44</v>
      </c>
    </row>
    <row r="1240" spans="1:9" hidden="1" x14ac:dyDescent="0.3">
      <c r="A1240" t="s">
        <v>1278</v>
      </c>
      <c r="B1240" t="s">
        <v>31</v>
      </c>
      <c r="D1240" t="s">
        <v>9</v>
      </c>
      <c r="F1240" t="s">
        <v>10</v>
      </c>
      <c r="G1240" s="2">
        <v>13769.8</v>
      </c>
      <c r="H1240" t="s">
        <v>20</v>
      </c>
      <c r="I1240">
        <v>55</v>
      </c>
    </row>
    <row r="1241" spans="1:9" hidden="1" x14ac:dyDescent="0.3">
      <c r="A1241" t="s">
        <v>1279</v>
      </c>
      <c r="B1241" t="s">
        <v>37</v>
      </c>
      <c r="D1241" t="s">
        <v>32</v>
      </c>
      <c r="F1241" t="s">
        <v>33</v>
      </c>
      <c r="G1241" s="2">
        <v>13774.73</v>
      </c>
      <c r="H1241" t="s">
        <v>35</v>
      </c>
      <c r="I1241">
        <v>22</v>
      </c>
    </row>
    <row r="1242" spans="1:9" hidden="1" x14ac:dyDescent="0.3">
      <c r="A1242" t="s">
        <v>1280</v>
      </c>
      <c r="B1242" t="s">
        <v>52</v>
      </c>
      <c r="D1242" t="s">
        <v>62</v>
      </c>
      <c r="F1242" t="s">
        <v>19</v>
      </c>
      <c r="G1242" s="2">
        <v>12044.63</v>
      </c>
      <c r="H1242" t="s">
        <v>11</v>
      </c>
      <c r="I1242">
        <v>10</v>
      </c>
    </row>
    <row r="1243" spans="1:9" hidden="1" x14ac:dyDescent="0.3">
      <c r="A1243" t="s">
        <v>1281</v>
      </c>
      <c r="B1243" t="s">
        <v>46</v>
      </c>
      <c r="D1243" t="s">
        <v>18</v>
      </c>
      <c r="F1243" t="s">
        <v>19</v>
      </c>
      <c r="G1243" s="2">
        <v>11027.99</v>
      </c>
      <c r="H1243" t="s">
        <v>20</v>
      </c>
      <c r="I1243">
        <v>13</v>
      </c>
    </row>
    <row r="1244" spans="1:9" hidden="1" x14ac:dyDescent="0.3">
      <c r="A1244" t="s">
        <v>1282</v>
      </c>
      <c r="B1244" t="s">
        <v>46</v>
      </c>
      <c r="D1244" t="s">
        <v>28</v>
      </c>
      <c r="F1244" t="s">
        <v>29</v>
      </c>
      <c r="G1244" s="2">
        <v>10181.89</v>
      </c>
      <c r="H1244" t="s">
        <v>47</v>
      </c>
      <c r="I1244">
        <v>21</v>
      </c>
    </row>
    <row r="1245" spans="1:9" hidden="1" x14ac:dyDescent="0.3">
      <c r="A1245" t="s">
        <v>1283</v>
      </c>
      <c r="B1245" t="s">
        <v>31</v>
      </c>
      <c r="D1245" t="s">
        <v>99</v>
      </c>
      <c r="F1245" t="s">
        <v>29</v>
      </c>
      <c r="G1245" s="2">
        <v>10108.39</v>
      </c>
      <c r="H1245" t="s">
        <v>35</v>
      </c>
      <c r="I1245">
        <v>1</v>
      </c>
    </row>
    <row r="1246" spans="1:9" hidden="1" x14ac:dyDescent="0.3">
      <c r="A1246" t="s">
        <v>1284</v>
      </c>
      <c r="B1246" t="s">
        <v>17</v>
      </c>
      <c r="D1246" t="s">
        <v>9</v>
      </c>
      <c r="F1246" t="s">
        <v>10</v>
      </c>
      <c r="G1246" s="2">
        <v>7902.7</v>
      </c>
      <c r="H1246" t="s">
        <v>20</v>
      </c>
      <c r="I1246">
        <v>23</v>
      </c>
    </row>
    <row r="1247" spans="1:9" hidden="1" x14ac:dyDescent="0.3">
      <c r="A1247" t="s">
        <v>1285</v>
      </c>
      <c r="B1247" t="s">
        <v>22</v>
      </c>
      <c r="D1247" t="s">
        <v>62</v>
      </c>
      <c r="F1247" t="s">
        <v>19</v>
      </c>
      <c r="G1247" s="2">
        <v>3815.85</v>
      </c>
      <c r="H1247" t="s">
        <v>11</v>
      </c>
      <c r="I1247">
        <v>0</v>
      </c>
    </row>
    <row r="1248" spans="1:9" hidden="1" x14ac:dyDescent="0.3">
      <c r="A1248" t="s">
        <v>1286</v>
      </c>
      <c r="B1248" t="s">
        <v>8</v>
      </c>
      <c r="D1248" t="s">
        <v>32</v>
      </c>
      <c r="F1248" t="s">
        <v>33</v>
      </c>
      <c r="G1248" s="2">
        <v>9866.25</v>
      </c>
      <c r="H1248" t="s">
        <v>35</v>
      </c>
      <c r="I1248">
        <v>39</v>
      </c>
    </row>
    <row r="1249" spans="1:9" hidden="1" x14ac:dyDescent="0.3">
      <c r="A1249" t="s">
        <v>1287</v>
      </c>
      <c r="B1249" t="s">
        <v>54</v>
      </c>
      <c r="D1249" t="s">
        <v>9</v>
      </c>
      <c r="F1249" t="s">
        <v>10</v>
      </c>
      <c r="G1249" s="2">
        <v>1341.48</v>
      </c>
      <c r="H1249" t="s">
        <v>20</v>
      </c>
      <c r="I1249">
        <v>25</v>
      </c>
    </row>
    <row r="1250" spans="1:9" hidden="1" x14ac:dyDescent="0.3">
      <c r="A1250" t="s">
        <v>1288</v>
      </c>
      <c r="B1250" t="s">
        <v>37</v>
      </c>
      <c r="D1250" t="s">
        <v>24</v>
      </c>
      <c r="F1250" t="s">
        <v>25</v>
      </c>
      <c r="G1250" s="2">
        <v>13445.22</v>
      </c>
      <c r="H1250" t="s">
        <v>20</v>
      </c>
      <c r="I1250">
        <v>17</v>
      </c>
    </row>
    <row r="1251" spans="1:9" x14ac:dyDescent="0.3">
      <c r="A1251" t="s">
        <v>1289</v>
      </c>
      <c r="B1251" t="s">
        <v>31</v>
      </c>
      <c r="D1251" t="s">
        <v>40</v>
      </c>
      <c r="F1251" t="s">
        <v>41</v>
      </c>
      <c r="G1251" s="2">
        <v>9924.14</v>
      </c>
      <c r="H1251" t="s">
        <v>11</v>
      </c>
      <c r="I1251">
        <v>0</v>
      </c>
    </row>
    <row r="1252" spans="1:9" hidden="1" x14ac:dyDescent="0.3">
      <c r="A1252" t="s">
        <v>1290</v>
      </c>
      <c r="B1252" t="s">
        <v>22</v>
      </c>
      <c r="D1252" t="s">
        <v>28</v>
      </c>
      <c r="F1252" t="s">
        <v>29</v>
      </c>
      <c r="G1252" s="2">
        <v>3897.18</v>
      </c>
      <c r="H1252" t="s">
        <v>35</v>
      </c>
      <c r="I1252">
        <v>18</v>
      </c>
    </row>
    <row r="1253" spans="1:9" hidden="1" x14ac:dyDescent="0.3">
      <c r="A1253" t="s">
        <v>1291</v>
      </c>
      <c r="B1253" t="s">
        <v>37</v>
      </c>
      <c r="D1253" t="s">
        <v>56</v>
      </c>
      <c r="F1253" t="s">
        <v>57</v>
      </c>
      <c r="G1253" s="2">
        <v>5859.43</v>
      </c>
      <c r="H1253" t="s">
        <v>47</v>
      </c>
      <c r="I1253">
        <v>17</v>
      </c>
    </row>
    <row r="1254" spans="1:9" hidden="1" x14ac:dyDescent="0.3">
      <c r="A1254" t="s">
        <v>1292</v>
      </c>
      <c r="B1254" t="s">
        <v>17</v>
      </c>
      <c r="D1254" t="s">
        <v>24</v>
      </c>
      <c r="F1254" t="s">
        <v>25</v>
      </c>
      <c r="G1254" s="2">
        <v>6636.59</v>
      </c>
      <c r="H1254" t="s">
        <v>15</v>
      </c>
      <c r="I1254">
        <v>60</v>
      </c>
    </row>
    <row r="1255" spans="1:9" hidden="1" x14ac:dyDescent="0.3">
      <c r="A1255" t="s">
        <v>1293</v>
      </c>
      <c r="B1255" t="s">
        <v>44</v>
      </c>
      <c r="D1255" t="s">
        <v>32</v>
      </c>
      <c r="F1255" t="s">
        <v>33</v>
      </c>
      <c r="G1255" s="2">
        <v>5919.88</v>
      </c>
      <c r="H1255" t="s">
        <v>20</v>
      </c>
      <c r="I1255">
        <v>7</v>
      </c>
    </row>
    <row r="1256" spans="1:9" hidden="1" x14ac:dyDescent="0.3">
      <c r="A1256" t="s">
        <v>1294</v>
      </c>
      <c r="B1256" t="s">
        <v>52</v>
      </c>
      <c r="D1256" t="s">
        <v>13</v>
      </c>
      <c r="F1256" t="s">
        <v>14</v>
      </c>
      <c r="G1256" s="2">
        <v>11542.17</v>
      </c>
      <c r="H1256" t="s">
        <v>11</v>
      </c>
      <c r="I1256">
        <v>0</v>
      </c>
    </row>
    <row r="1257" spans="1:9" hidden="1" x14ac:dyDescent="0.3">
      <c r="A1257" t="s">
        <v>1295</v>
      </c>
      <c r="B1257" t="s">
        <v>52</v>
      </c>
      <c r="D1257" t="s">
        <v>62</v>
      </c>
      <c r="F1257" t="s">
        <v>19</v>
      </c>
      <c r="G1257" s="2">
        <v>1594.14</v>
      </c>
      <c r="H1257" t="s">
        <v>11</v>
      </c>
      <c r="I1257">
        <v>0</v>
      </c>
    </row>
    <row r="1258" spans="1:9" hidden="1" x14ac:dyDescent="0.3">
      <c r="A1258" t="s">
        <v>1296</v>
      </c>
      <c r="B1258" t="s">
        <v>22</v>
      </c>
      <c r="D1258" t="s">
        <v>99</v>
      </c>
      <c r="F1258" t="s">
        <v>29</v>
      </c>
      <c r="G1258" s="2">
        <v>13452.86</v>
      </c>
      <c r="H1258" t="s">
        <v>11</v>
      </c>
      <c r="I1258">
        <v>0</v>
      </c>
    </row>
    <row r="1259" spans="1:9" hidden="1" x14ac:dyDescent="0.3">
      <c r="A1259" t="s">
        <v>1297</v>
      </c>
      <c r="B1259" t="s">
        <v>31</v>
      </c>
      <c r="D1259" t="s">
        <v>56</v>
      </c>
      <c r="F1259" t="s">
        <v>57</v>
      </c>
      <c r="G1259" s="2">
        <v>4033.23</v>
      </c>
      <c r="H1259" t="s">
        <v>20</v>
      </c>
      <c r="I1259">
        <v>58</v>
      </c>
    </row>
    <row r="1260" spans="1:9" hidden="1" x14ac:dyDescent="0.3">
      <c r="A1260" t="s">
        <v>1298</v>
      </c>
      <c r="B1260" t="s">
        <v>52</v>
      </c>
      <c r="D1260" t="s">
        <v>32</v>
      </c>
      <c r="F1260" t="s">
        <v>33</v>
      </c>
      <c r="G1260" s="2">
        <v>105.37</v>
      </c>
      <c r="H1260" t="s">
        <v>20</v>
      </c>
      <c r="I1260">
        <v>50</v>
      </c>
    </row>
    <row r="1261" spans="1:9" x14ac:dyDescent="0.3">
      <c r="A1261" t="s">
        <v>1299</v>
      </c>
      <c r="B1261" t="s">
        <v>8</v>
      </c>
      <c r="D1261" t="s">
        <v>40</v>
      </c>
      <c r="F1261" t="s">
        <v>41</v>
      </c>
      <c r="G1261" s="2">
        <v>6569.06</v>
      </c>
      <c r="H1261" t="s">
        <v>35</v>
      </c>
      <c r="I1261">
        <v>50</v>
      </c>
    </row>
    <row r="1262" spans="1:9" hidden="1" x14ac:dyDescent="0.3">
      <c r="A1262" t="s">
        <v>1300</v>
      </c>
      <c r="B1262" t="s">
        <v>52</v>
      </c>
      <c r="D1262" t="s">
        <v>13</v>
      </c>
      <c r="F1262" t="s">
        <v>14</v>
      </c>
      <c r="G1262" s="2">
        <v>3426.41</v>
      </c>
      <c r="H1262" t="s">
        <v>15</v>
      </c>
      <c r="I1262">
        <v>45</v>
      </c>
    </row>
    <row r="1263" spans="1:9" hidden="1" x14ac:dyDescent="0.3">
      <c r="A1263" t="s">
        <v>1301</v>
      </c>
      <c r="B1263" t="s">
        <v>27</v>
      </c>
      <c r="D1263" t="s">
        <v>9</v>
      </c>
      <c r="F1263" t="s">
        <v>10</v>
      </c>
      <c r="G1263" s="2">
        <v>8530.2999999999993</v>
      </c>
      <c r="H1263" t="s">
        <v>47</v>
      </c>
      <c r="I1263">
        <v>23</v>
      </c>
    </row>
    <row r="1264" spans="1:9" hidden="1" x14ac:dyDescent="0.3">
      <c r="A1264" t="s">
        <v>1302</v>
      </c>
      <c r="B1264" t="s">
        <v>8</v>
      </c>
      <c r="D1264" t="s">
        <v>62</v>
      </c>
      <c r="F1264" t="s">
        <v>19</v>
      </c>
      <c r="G1264" s="2">
        <v>6039.19</v>
      </c>
      <c r="H1264" t="s">
        <v>20</v>
      </c>
      <c r="I1264">
        <v>42</v>
      </c>
    </row>
    <row r="1265" spans="1:9" hidden="1" x14ac:dyDescent="0.3">
      <c r="A1265" t="s">
        <v>1303</v>
      </c>
      <c r="B1265" t="s">
        <v>52</v>
      </c>
      <c r="D1265" t="s">
        <v>28</v>
      </c>
      <c r="F1265" t="s">
        <v>29</v>
      </c>
      <c r="G1265" s="2">
        <v>8042.66</v>
      </c>
      <c r="H1265" t="s">
        <v>47</v>
      </c>
      <c r="I1265">
        <v>6</v>
      </c>
    </row>
    <row r="1266" spans="1:9" hidden="1" x14ac:dyDescent="0.3">
      <c r="A1266" t="s">
        <v>1304</v>
      </c>
      <c r="B1266" t="s">
        <v>17</v>
      </c>
      <c r="D1266" t="s">
        <v>62</v>
      </c>
      <c r="F1266" t="s">
        <v>19</v>
      </c>
      <c r="G1266" s="2">
        <v>9734.5</v>
      </c>
      <c r="H1266" t="s">
        <v>11</v>
      </c>
      <c r="I1266">
        <v>1</v>
      </c>
    </row>
    <row r="1267" spans="1:9" hidden="1" x14ac:dyDescent="0.3">
      <c r="A1267" t="s">
        <v>1305</v>
      </c>
      <c r="B1267" t="s">
        <v>27</v>
      </c>
      <c r="D1267" t="s">
        <v>62</v>
      </c>
      <c r="F1267" t="s">
        <v>19</v>
      </c>
      <c r="G1267" s="2">
        <v>10453.44</v>
      </c>
      <c r="H1267" t="s">
        <v>47</v>
      </c>
      <c r="I1267">
        <v>41</v>
      </c>
    </row>
    <row r="1268" spans="1:9" x14ac:dyDescent="0.3">
      <c r="A1268" t="s">
        <v>1306</v>
      </c>
      <c r="B1268" t="s">
        <v>17</v>
      </c>
      <c r="D1268" t="s">
        <v>40</v>
      </c>
      <c r="F1268" t="s">
        <v>41</v>
      </c>
      <c r="G1268" s="2">
        <v>1318.69</v>
      </c>
      <c r="H1268" t="s">
        <v>20</v>
      </c>
      <c r="I1268">
        <v>48</v>
      </c>
    </row>
    <row r="1269" spans="1:9" hidden="1" x14ac:dyDescent="0.3">
      <c r="A1269" t="s">
        <v>1307</v>
      </c>
      <c r="B1269" t="s">
        <v>52</v>
      </c>
      <c r="D1269" t="s">
        <v>24</v>
      </c>
      <c r="F1269" t="s">
        <v>25</v>
      </c>
      <c r="G1269" s="2">
        <v>583.69000000000005</v>
      </c>
      <c r="H1269" t="s">
        <v>11</v>
      </c>
      <c r="I1269">
        <v>0</v>
      </c>
    </row>
    <row r="1270" spans="1:9" hidden="1" x14ac:dyDescent="0.3">
      <c r="A1270" t="s">
        <v>1308</v>
      </c>
      <c r="B1270" t="s">
        <v>52</v>
      </c>
      <c r="D1270" t="s">
        <v>56</v>
      </c>
      <c r="F1270" t="s">
        <v>57</v>
      </c>
      <c r="G1270" s="2">
        <v>991.74</v>
      </c>
      <c r="H1270" t="s">
        <v>15</v>
      </c>
      <c r="I1270">
        <v>20</v>
      </c>
    </row>
    <row r="1271" spans="1:9" hidden="1" x14ac:dyDescent="0.3">
      <c r="A1271" t="s">
        <v>1309</v>
      </c>
      <c r="B1271" t="s">
        <v>22</v>
      </c>
      <c r="D1271" t="s">
        <v>13</v>
      </c>
      <c r="F1271" t="s">
        <v>14</v>
      </c>
      <c r="G1271" s="2">
        <v>14476.06</v>
      </c>
      <c r="H1271" t="s">
        <v>35</v>
      </c>
      <c r="I1271">
        <v>2</v>
      </c>
    </row>
    <row r="1272" spans="1:9" hidden="1" x14ac:dyDescent="0.3">
      <c r="A1272" t="s">
        <v>1310</v>
      </c>
      <c r="B1272" t="s">
        <v>31</v>
      </c>
      <c r="D1272" t="s">
        <v>28</v>
      </c>
      <c r="F1272" t="s">
        <v>29</v>
      </c>
      <c r="G1272" s="2">
        <v>888.01</v>
      </c>
      <c r="H1272" t="s">
        <v>35</v>
      </c>
      <c r="I1272">
        <v>3</v>
      </c>
    </row>
    <row r="1273" spans="1:9" hidden="1" x14ac:dyDescent="0.3">
      <c r="A1273" t="s">
        <v>1311</v>
      </c>
      <c r="B1273" t="s">
        <v>52</v>
      </c>
      <c r="D1273" t="s">
        <v>9</v>
      </c>
      <c r="F1273" t="s">
        <v>10</v>
      </c>
      <c r="G1273" s="2">
        <v>3214.59</v>
      </c>
      <c r="H1273" t="s">
        <v>20</v>
      </c>
      <c r="I1273">
        <v>34</v>
      </c>
    </row>
    <row r="1274" spans="1:9" hidden="1" x14ac:dyDescent="0.3">
      <c r="A1274" t="s">
        <v>1312</v>
      </c>
      <c r="B1274" t="s">
        <v>8</v>
      </c>
      <c r="D1274" t="s">
        <v>13</v>
      </c>
      <c r="F1274" t="s">
        <v>14</v>
      </c>
      <c r="G1274" s="2">
        <v>2276.86</v>
      </c>
      <c r="H1274" t="s">
        <v>20</v>
      </c>
      <c r="I1274">
        <v>60</v>
      </c>
    </row>
    <row r="1275" spans="1:9" hidden="1" x14ac:dyDescent="0.3">
      <c r="A1275" t="s">
        <v>1313</v>
      </c>
      <c r="B1275" t="s">
        <v>52</v>
      </c>
      <c r="D1275" t="s">
        <v>99</v>
      </c>
      <c r="F1275" t="s">
        <v>29</v>
      </c>
      <c r="G1275" s="2">
        <v>11045.12</v>
      </c>
      <c r="H1275" t="s">
        <v>15</v>
      </c>
      <c r="I1275">
        <v>2</v>
      </c>
    </row>
    <row r="1276" spans="1:9" hidden="1" x14ac:dyDescent="0.3">
      <c r="A1276" t="s">
        <v>1314</v>
      </c>
      <c r="B1276" t="s">
        <v>22</v>
      </c>
      <c r="D1276" t="s">
        <v>32</v>
      </c>
      <c r="F1276" t="s">
        <v>33</v>
      </c>
      <c r="G1276" s="2">
        <v>734.74</v>
      </c>
      <c r="H1276" t="s">
        <v>20</v>
      </c>
      <c r="I1276">
        <v>9</v>
      </c>
    </row>
    <row r="1277" spans="1:9" hidden="1" x14ac:dyDescent="0.3">
      <c r="A1277" t="s">
        <v>1315</v>
      </c>
      <c r="B1277" t="s">
        <v>8</v>
      </c>
      <c r="D1277" t="s">
        <v>24</v>
      </c>
      <c r="F1277" t="s">
        <v>25</v>
      </c>
      <c r="G1277" s="2">
        <v>9508.2900000000009</v>
      </c>
      <c r="H1277" t="s">
        <v>47</v>
      </c>
      <c r="I1277">
        <v>53</v>
      </c>
    </row>
    <row r="1278" spans="1:9" x14ac:dyDescent="0.3">
      <c r="A1278" t="s">
        <v>1316</v>
      </c>
      <c r="B1278" t="s">
        <v>8</v>
      </c>
      <c r="D1278" t="s">
        <v>40</v>
      </c>
      <c r="F1278" t="s">
        <v>41</v>
      </c>
      <c r="G1278" s="2">
        <v>9187.83</v>
      </c>
      <c r="H1278" t="s">
        <v>35</v>
      </c>
      <c r="I1278">
        <v>5</v>
      </c>
    </row>
    <row r="1279" spans="1:9" hidden="1" x14ac:dyDescent="0.3">
      <c r="A1279" t="s">
        <v>1317</v>
      </c>
      <c r="B1279" t="s">
        <v>8</v>
      </c>
      <c r="D1279" t="s">
        <v>9</v>
      </c>
      <c r="F1279" t="s">
        <v>10</v>
      </c>
      <c r="G1279" s="2">
        <v>7482.3</v>
      </c>
      <c r="H1279" t="s">
        <v>35</v>
      </c>
      <c r="I1279">
        <v>15</v>
      </c>
    </row>
    <row r="1280" spans="1:9" hidden="1" x14ac:dyDescent="0.3">
      <c r="A1280" t="s">
        <v>1318</v>
      </c>
      <c r="B1280" t="s">
        <v>31</v>
      </c>
      <c r="D1280" t="s">
        <v>18</v>
      </c>
      <c r="F1280" t="s">
        <v>19</v>
      </c>
      <c r="G1280" s="2">
        <v>6421.86</v>
      </c>
      <c r="H1280" t="s">
        <v>35</v>
      </c>
      <c r="I1280">
        <v>48</v>
      </c>
    </row>
    <row r="1281" spans="1:9" hidden="1" x14ac:dyDescent="0.3">
      <c r="A1281" t="s">
        <v>1319</v>
      </c>
      <c r="B1281" t="s">
        <v>44</v>
      </c>
      <c r="D1281" t="s">
        <v>28</v>
      </c>
      <c r="F1281" t="s">
        <v>29</v>
      </c>
      <c r="G1281" s="2">
        <v>1856</v>
      </c>
      <c r="H1281" t="s">
        <v>20</v>
      </c>
      <c r="I1281">
        <v>35</v>
      </c>
    </row>
    <row r="1282" spans="1:9" hidden="1" x14ac:dyDescent="0.3">
      <c r="A1282" t="s">
        <v>1320</v>
      </c>
      <c r="B1282" t="s">
        <v>22</v>
      </c>
      <c r="D1282" t="s">
        <v>28</v>
      </c>
      <c r="F1282" t="s">
        <v>29</v>
      </c>
      <c r="G1282" s="2">
        <v>12554.59</v>
      </c>
      <c r="H1282" t="s">
        <v>35</v>
      </c>
      <c r="I1282">
        <v>49</v>
      </c>
    </row>
    <row r="1283" spans="1:9" hidden="1" x14ac:dyDescent="0.3">
      <c r="A1283" t="s">
        <v>1321</v>
      </c>
      <c r="B1283" t="s">
        <v>31</v>
      </c>
      <c r="D1283" t="s">
        <v>32</v>
      </c>
      <c r="F1283" t="s">
        <v>33</v>
      </c>
      <c r="G1283" s="2">
        <v>2643.04</v>
      </c>
      <c r="H1283" t="s">
        <v>11</v>
      </c>
      <c r="I1283">
        <v>0</v>
      </c>
    </row>
    <row r="1284" spans="1:9" hidden="1" x14ac:dyDescent="0.3">
      <c r="A1284" t="s">
        <v>1322</v>
      </c>
      <c r="B1284" t="s">
        <v>17</v>
      </c>
      <c r="D1284" t="s">
        <v>24</v>
      </c>
      <c r="F1284" t="s">
        <v>25</v>
      </c>
      <c r="G1284" s="2">
        <v>10459.620000000001</v>
      </c>
      <c r="H1284" t="s">
        <v>20</v>
      </c>
      <c r="I1284">
        <v>29</v>
      </c>
    </row>
    <row r="1285" spans="1:9" hidden="1" x14ac:dyDescent="0.3">
      <c r="A1285" t="s">
        <v>1323</v>
      </c>
      <c r="B1285" t="s">
        <v>44</v>
      </c>
      <c r="D1285" t="s">
        <v>32</v>
      </c>
      <c r="F1285" t="s">
        <v>33</v>
      </c>
      <c r="G1285" s="2">
        <v>658.45</v>
      </c>
      <c r="H1285" t="s">
        <v>11</v>
      </c>
      <c r="I1285">
        <v>14</v>
      </c>
    </row>
    <row r="1286" spans="1:9" hidden="1" x14ac:dyDescent="0.3">
      <c r="A1286" t="s">
        <v>1324</v>
      </c>
      <c r="B1286" t="s">
        <v>8</v>
      </c>
      <c r="D1286" t="s">
        <v>99</v>
      </c>
      <c r="F1286" t="s">
        <v>29</v>
      </c>
      <c r="G1286" s="2">
        <v>13200.42</v>
      </c>
      <c r="H1286" t="s">
        <v>11</v>
      </c>
      <c r="I1286">
        <v>0</v>
      </c>
    </row>
    <row r="1287" spans="1:9" hidden="1" x14ac:dyDescent="0.3">
      <c r="A1287" t="s">
        <v>1325</v>
      </c>
      <c r="B1287" t="s">
        <v>52</v>
      </c>
      <c r="D1287" t="s">
        <v>32</v>
      </c>
      <c r="F1287" t="s">
        <v>33</v>
      </c>
      <c r="G1287" s="2">
        <v>13309.38</v>
      </c>
      <c r="H1287" t="s">
        <v>15</v>
      </c>
      <c r="I1287">
        <v>52</v>
      </c>
    </row>
    <row r="1288" spans="1:9" hidden="1" x14ac:dyDescent="0.3">
      <c r="A1288" t="s">
        <v>1326</v>
      </c>
      <c r="B1288" t="s">
        <v>52</v>
      </c>
      <c r="D1288" t="s">
        <v>24</v>
      </c>
      <c r="F1288" t="s">
        <v>25</v>
      </c>
      <c r="G1288" s="2">
        <v>3132.1</v>
      </c>
      <c r="H1288" t="s">
        <v>20</v>
      </c>
      <c r="I1288">
        <v>34</v>
      </c>
    </row>
    <row r="1289" spans="1:9" hidden="1" x14ac:dyDescent="0.3">
      <c r="A1289" t="s">
        <v>1327</v>
      </c>
      <c r="B1289" t="s">
        <v>54</v>
      </c>
      <c r="D1289" t="s">
        <v>56</v>
      </c>
      <c r="F1289" t="s">
        <v>57</v>
      </c>
      <c r="G1289" s="2">
        <v>3626.84</v>
      </c>
      <c r="H1289" t="s">
        <v>11</v>
      </c>
      <c r="I1289">
        <v>0</v>
      </c>
    </row>
    <row r="1290" spans="1:9" hidden="1" x14ac:dyDescent="0.3">
      <c r="A1290" t="s">
        <v>1328</v>
      </c>
      <c r="B1290" t="s">
        <v>37</v>
      </c>
      <c r="D1290" t="s">
        <v>24</v>
      </c>
      <c r="F1290" t="s">
        <v>25</v>
      </c>
      <c r="G1290" s="2">
        <v>10772.12</v>
      </c>
      <c r="H1290" t="s">
        <v>20</v>
      </c>
      <c r="I1290">
        <v>6</v>
      </c>
    </row>
    <row r="1291" spans="1:9" hidden="1" x14ac:dyDescent="0.3">
      <c r="A1291" t="s">
        <v>1329</v>
      </c>
      <c r="B1291" t="s">
        <v>8</v>
      </c>
      <c r="D1291" t="s">
        <v>28</v>
      </c>
      <c r="F1291" t="s">
        <v>29</v>
      </c>
      <c r="G1291" s="2">
        <v>6310.85</v>
      </c>
      <c r="H1291" t="s">
        <v>20</v>
      </c>
      <c r="I1291">
        <v>13</v>
      </c>
    </row>
    <row r="1292" spans="1:9" hidden="1" x14ac:dyDescent="0.3">
      <c r="A1292" t="s">
        <v>1330</v>
      </c>
      <c r="B1292" t="s">
        <v>46</v>
      </c>
      <c r="D1292" t="s">
        <v>13</v>
      </c>
      <c r="F1292" t="s">
        <v>14</v>
      </c>
      <c r="G1292" s="2">
        <v>14653.03</v>
      </c>
      <c r="H1292" t="s">
        <v>20</v>
      </c>
      <c r="I1292">
        <v>56</v>
      </c>
    </row>
    <row r="1293" spans="1:9" hidden="1" x14ac:dyDescent="0.3">
      <c r="A1293" t="s">
        <v>1331</v>
      </c>
      <c r="B1293" t="s">
        <v>17</v>
      </c>
      <c r="D1293" t="s">
        <v>13</v>
      </c>
      <c r="F1293" t="s">
        <v>14</v>
      </c>
      <c r="G1293" s="2">
        <v>3328.18</v>
      </c>
      <c r="H1293" t="s">
        <v>35</v>
      </c>
      <c r="I1293">
        <v>43</v>
      </c>
    </row>
    <row r="1294" spans="1:9" hidden="1" x14ac:dyDescent="0.3">
      <c r="A1294" t="s">
        <v>1332</v>
      </c>
      <c r="B1294" t="s">
        <v>52</v>
      </c>
      <c r="D1294" t="s">
        <v>62</v>
      </c>
      <c r="F1294" t="s">
        <v>19</v>
      </c>
      <c r="G1294" s="2">
        <v>843.38</v>
      </c>
      <c r="H1294" t="s">
        <v>11</v>
      </c>
      <c r="I1294">
        <v>3</v>
      </c>
    </row>
    <row r="1295" spans="1:9" hidden="1" x14ac:dyDescent="0.3">
      <c r="A1295" t="s">
        <v>1333</v>
      </c>
      <c r="B1295" t="s">
        <v>27</v>
      </c>
      <c r="D1295" t="s">
        <v>24</v>
      </c>
      <c r="F1295" t="s">
        <v>25</v>
      </c>
      <c r="G1295" s="2">
        <v>2438.41</v>
      </c>
      <c r="H1295" t="s">
        <v>47</v>
      </c>
      <c r="I1295">
        <v>4</v>
      </c>
    </row>
    <row r="1296" spans="1:9" hidden="1" x14ac:dyDescent="0.3">
      <c r="A1296" t="s">
        <v>1334</v>
      </c>
      <c r="B1296" t="s">
        <v>22</v>
      </c>
      <c r="D1296" t="s">
        <v>62</v>
      </c>
      <c r="F1296" t="s">
        <v>19</v>
      </c>
      <c r="G1296" s="2">
        <v>3183.37</v>
      </c>
      <c r="H1296" t="s">
        <v>11</v>
      </c>
      <c r="I1296">
        <v>10</v>
      </c>
    </row>
    <row r="1297" spans="1:9" hidden="1" x14ac:dyDescent="0.3">
      <c r="A1297" t="s">
        <v>1335</v>
      </c>
      <c r="B1297" t="s">
        <v>44</v>
      </c>
      <c r="D1297" t="s">
        <v>9</v>
      </c>
      <c r="F1297" t="s">
        <v>10</v>
      </c>
      <c r="G1297" s="2">
        <v>11119.23</v>
      </c>
      <c r="H1297" t="s">
        <v>47</v>
      </c>
      <c r="I1297">
        <v>12</v>
      </c>
    </row>
    <row r="1298" spans="1:9" hidden="1" x14ac:dyDescent="0.3">
      <c r="A1298" t="s">
        <v>1336</v>
      </c>
      <c r="B1298" t="s">
        <v>52</v>
      </c>
      <c r="D1298" t="s">
        <v>99</v>
      </c>
      <c r="F1298" t="s">
        <v>29</v>
      </c>
      <c r="G1298" s="2">
        <v>7301.67</v>
      </c>
      <c r="H1298" t="s">
        <v>11</v>
      </c>
      <c r="I1298">
        <v>0</v>
      </c>
    </row>
    <row r="1299" spans="1:9" hidden="1" x14ac:dyDescent="0.3">
      <c r="A1299" t="s">
        <v>1337</v>
      </c>
      <c r="B1299" t="s">
        <v>27</v>
      </c>
      <c r="D1299" t="s">
        <v>32</v>
      </c>
      <c r="F1299" t="s">
        <v>33</v>
      </c>
      <c r="G1299" s="2">
        <v>8717.44</v>
      </c>
      <c r="H1299" t="s">
        <v>15</v>
      </c>
      <c r="I1299">
        <v>48</v>
      </c>
    </row>
    <row r="1300" spans="1:9" hidden="1" x14ac:dyDescent="0.3">
      <c r="A1300" t="s">
        <v>1338</v>
      </c>
      <c r="B1300" t="s">
        <v>17</v>
      </c>
      <c r="D1300" t="s">
        <v>18</v>
      </c>
      <c r="F1300" t="s">
        <v>19</v>
      </c>
      <c r="G1300" s="2">
        <v>11695.68</v>
      </c>
      <c r="H1300" t="s">
        <v>15</v>
      </c>
      <c r="I1300">
        <v>7</v>
      </c>
    </row>
    <row r="1301" spans="1:9" hidden="1" x14ac:dyDescent="0.3">
      <c r="A1301" t="s">
        <v>1339</v>
      </c>
      <c r="B1301" t="s">
        <v>8</v>
      </c>
      <c r="D1301" t="s">
        <v>56</v>
      </c>
      <c r="F1301" t="s">
        <v>57</v>
      </c>
      <c r="G1301" s="2">
        <v>13054.8</v>
      </c>
      <c r="H1301" t="s">
        <v>15</v>
      </c>
      <c r="I1301">
        <v>15</v>
      </c>
    </row>
    <row r="1302" spans="1:9" x14ac:dyDescent="0.3">
      <c r="A1302" t="s">
        <v>1340</v>
      </c>
      <c r="B1302" t="s">
        <v>17</v>
      </c>
      <c r="D1302" t="s">
        <v>40</v>
      </c>
      <c r="F1302" t="s">
        <v>41</v>
      </c>
      <c r="G1302" s="2">
        <v>8797.1299999999992</v>
      </c>
      <c r="H1302" t="s">
        <v>11</v>
      </c>
      <c r="I1302">
        <v>0</v>
      </c>
    </row>
    <row r="1303" spans="1:9" hidden="1" x14ac:dyDescent="0.3">
      <c r="A1303" t="s">
        <v>1341</v>
      </c>
      <c r="B1303" t="s">
        <v>52</v>
      </c>
      <c r="D1303" t="s">
        <v>32</v>
      </c>
      <c r="F1303" t="s">
        <v>33</v>
      </c>
      <c r="G1303" s="2">
        <v>6852.11</v>
      </c>
      <c r="H1303" t="s">
        <v>15</v>
      </c>
      <c r="I1303">
        <v>9</v>
      </c>
    </row>
    <row r="1304" spans="1:9" hidden="1" x14ac:dyDescent="0.3">
      <c r="A1304" t="s">
        <v>1342</v>
      </c>
      <c r="B1304" t="s">
        <v>27</v>
      </c>
      <c r="D1304" t="s">
        <v>18</v>
      </c>
      <c r="F1304" t="s">
        <v>19</v>
      </c>
      <c r="G1304" s="2">
        <v>9498.7199999999993</v>
      </c>
      <c r="H1304" t="s">
        <v>47</v>
      </c>
      <c r="I1304">
        <v>13</v>
      </c>
    </row>
    <row r="1305" spans="1:9" hidden="1" x14ac:dyDescent="0.3">
      <c r="A1305" t="s">
        <v>1343</v>
      </c>
      <c r="B1305" t="s">
        <v>44</v>
      </c>
      <c r="D1305" t="s">
        <v>24</v>
      </c>
      <c r="F1305" t="s">
        <v>25</v>
      </c>
      <c r="G1305" s="2">
        <v>529.80999999999995</v>
      </c>
      <c r="H1305" t="s">
        <v>20</v>
      </c>
      <c r="I1305">
        <v>18</v>
      </c>
    </row>
    <row r="1306" spans="1:9" hidden="1" x14ac:dyDescent="0.3">
      <c r="A1306" t="s">
        <v>1344</v>
      </c>
      <c r="B1306" t="s">
        <v>27</v>
      </c>
      <c r="D1306" t="s">
        <v>9</v>
      </c>
      <c r="F1306" t="s">
        <v>10</v>
      </c>
      <c r="G1306" s="2">
        <v>12782.19</v>
      </c>
      <c r="H1306" t="s">
        <v>15</v>
      </c>
      <c r="I1306">
        <v>11</v>
      </c>
    </row>
    <row r="1307" spans="1:9" hidden="1" x14ac:dyDescent="0.3">
      <c r="A1307" t="s">
        <v>1345</v>
      </c>
      <c r="B1307" t="s">
        <v>54</v>
      </c>
      <c r="D1307" t="s">
        <v>18</v>
      </c>
      <c r="F1307" t="s">
        <v>19</v>
      </c>
      <c r="G1307" s="2">
        <v>13301.81</v>
      </c>
      <c r="H1307" t="s">
        <v>20</v>
      </c>
      <c r="I1307">
        <v>51</v>
      </c>
    </row>
    <row r="1308" spans="1:9" hidden="1" x14ac:dyDescent="0.3">
      <c r="A1308" t="s">
        <v>1346</v>
      </c>
      <c r="B1308" t="s">
        <v>8</v>
      </c>
      <c r="D1308" t="s">
        <v>24</v>
      </c>
      <c r="F1308" t="s">
        <v>25</v>
      </c>
      <c r="G1308" s="2">
        <v>8692.92</v>
      </c>
      <c r="H1308" t="s">
        <v>20</v>
      </c>
      <c r="I1308">
        <v>15</v>
      </c>
    </row>
    <row r="1309" spans="1:9" hidden="1" x14ac:dyDescent="0.3">
      <c r="A1309" t="s">
        <v>1347</v>
      </c>
      <c r="B1309" t="s">
        <v>54</v>
      </c>
      <c r="D1309" t="s">
        <v>56</v>
      </c>
      <c r="F1309" t="s">
        <v>57</v>
      </c>
      <c r="G1309" s="2">
        <v>12861.76</v>
      </c>
      <c r="H1309" t="s">
        <v>15</v>
      </c>
      <c r="I1309">
        <v>14</v>
      </c>
    </row>
    <row r="1310" spans="1:9" x14ac:dyDescent="0.3">
      <c r="A1310" t="s">
        <v>1348</v>
      </c>
      <c r="B1310" t="s">
        <v>17</v>
      </c>
      <c r="D1310" t="s">
        <v>40</v>
      </c>
      <c r="F1310" t="s">
        <v>41</v>
      </c>
      <c r="G1310" s="2">
        <v>12562.99</v>
      </c>
      <c r="H1310" t="s">
        <v>11</v>
      </c>
      <c r="I1310">
        <v>12</v>
      </c>
    </row>
    <row r="1311" spans="1:9" hidden="1" x14ac:dyDescent="0.3">
      <c r="A1311" t="s">
        <v>1349</v>
      </c>
      <c r="B1311" t="s">
        <v>54</v>
      </c>
      <c r="D1311" t="s">
        <v>18</v>
      </c>
      <c r="F1311" t="s">
        <v>19</v>
      </c>
      <c r="G1311" s="2">
        <v>4943.07</v>
      </c>
      <c r="H1311" t="s">
        <v>20</v>
      </c>
      <c r="I1311">
        <v>58</v>
      </c>
    </row>
    <row r="1312" spans="1:9" hidden="1" x14ac:dyDescent="0.3">
      <c r="A1312" t="s">
        <v>1350</v>
      </c>
      <c r="B1312" t="s">
        <v>22</v>
      </c>
      <c r="D1312" t="s">
        <v>24</v>
      </c>
      <c r="F1312" t="s">
        <v>25</v>
      </c>
      <c r="G1312" s="2">
        <v>13710.63</v>
      </c>
      <c r="H1312" t="s">
        <v>47</v>
      </c>
      <c r="I1312">
        <v>27</v>
      </c>
    </row>
    <row r="1313" spans="1:9" hidden="1" x14ac:dyDescent="0.3">
      <c r="A1313" t="s">
        <v>1351</v>
      </c>
      <c r="B1313" t="s">
        <v>22</v>
      </c>
      <c r="D1313" t="s">
        <v>99</v>
      </c>
      <c r="F1313" t="s">
        <v>29</v>
      </c>
      <c r="G1313" s="2">
        <v>14869.54</v>
      </c>
      <c r="H1313" t="s">
        <v>35</v>
      </c>
      <c r="I1313">
        <v>33</v>
      </c>
    </row>
    <row r="1314" spans="1:9" hidden="1" x14ac:dyDescent="0.3">
      <c r="A1314" t="s">
        <v>1352</v>
      </c>
      <c r="B1314" t="s">
        <v>8</v>
      </c>
      <c r="D1314" t="s">
        <v>56</v>
      </c>
      <c r="F1314" t="s">
        <v>57</v>
      </c>
      <c r="G1314" s="2">
        <v>7990.27</v>
      </c>
      <c r="H1314" t="s">
        <v>15</v>
      </c>
      <c r="I1314">
        <v>52</v>
      </c>
    </row>
    <row r="1315" spans="1:9" x14ac:dyDescent="0.3">
      <c r="A1315" t="s">
        <v>1353</v>
      </c>
      <c r="B1315" t="s">
        <v>31</v>
      </c>
      <c r="D1315" t="s">
        <v>40</v>
      </c>
      <c r="F1315" t="s">
        <v>41</v>
      </c>
      <c r="G1315" s="2">
        <v>7454.51</v>
      </c>
      <c r="H1315" t="s">
        <v>11</v>
      </c>
      <c r="I1315">
        <v>0</v>
      </c>
    </row>
    <row r="1316" spans="1:9" hidden="1" x14ac:dyDescent="0.3">
      <c r="A1316" t="s">
        <v>1354</v>
      </c>
      <c r="B1316" t="s">
        <v>8</v>
      </c>
      <c r="D1316" t="s">
        <v>18</v>
      </c>
      <c r="F1316" t="s">
        <v>19</v>
      </c>
      <c r="G1316" s="2">
        <v>2034.04</v>
      </c>
      <c r="H1316" t="s">
        <v>15</v>
      </c>
      <c r="I1316">
        <v>42</v>
      </c>
    </row>
    <row r="1317" spans="1:9" hidden="1" x14ac:dyDescent="0.3">
      <c r="A1317" t="s">
        <v>1355</v>
      </c>
      <c r="B1317" t="s">
        <v>52</v>
      </c>
      <c r="D1317" t="s">
        <v>99</v>
      </c>
      <c r="F1317" t="s">
        <v>29</v>
      </c>
      <c r="G1317" s="2">
        <v>7222.76</v>
      </c>
      <c r="H1317" t="s">
        <v>15</v>
      </c>
      <c r="I1317">
        <v>46</v>
      </c>
    </row>
    <row r="1318" spans="1:9" hidden="1" x14ac:dyDescent="0.3">
      <c r="A1318" t="s">
        <v>1356</v>
      </c>
      <c r="B1318" t="s">
        <v>44</v>
      </c>
      <c r="D1318" t="s">
        <v>32</v>
      </c>
      <c r="F1318" t="s">
        <v>33</v>
      </c>
      <c r="G1318" s="2">
        <v>11221.94</v>
      </c>
      <c r="H1318" t="s">
        <v>11</v>
      </c>
      <c r="I1318">
        <v>8</v>
      </c>
    </row>
    <row r="1319" spans="1:9" hidden="1" x14ac:dyDescent="0.3">
      <c r="A1319" t="s">
        <v>1357</v>
      </c>
      <c r="B1319" t="s">
        <v>52</v>
      </c>
      <c r="D1319" t="s">
        <v>56</v>
      </c>
      <c r="F1319" t="s">
        <v>57</v>
      </c>
      <c r="G1319" s="2">
        <v>2814.94</v>
      </c>
      <c r="H1319" t="s">
        <v>35</v>
      </c>
      <c r="I1319">
        <v>41</v>
      </c>
    </row>
    <row r="1320" spans="1:9" hidden="1" x14ac:dyDescent="0.3">
      <c r="A1320" t="s">
        <v>1358</v>
      </c>
      <c r="B1320" t="s">
        <v>46</v>
      </c>
      <c r="D1320" t="s">
        <v>99</v>
      </c>
      <c r="F1320" t="s">
        <v>29</v>
      </c>
      <c r="G1320" s="2">
        <v>12912.72</v>
      </c>
      <c r="H1320" t="s">
        <v>11</v>
      </c>
      <c r="I1320">
        <v>0</v>
      </c>
    </row>
    <row r="1321" spans="1:9" hidden="1" x14ac:dyDescent="0.3">
      <c r="A1321" t="s">
        <v>1359</v>
      </c>
      <c r="B1321" t="s">
        <v>54</v>
      </c>
      <c r="D1321" t="s">
        <v>99</v>
      </c>
      <c r="F1321" t="s">
        <v>29</v>
      </c>
      <c r="G1321" s="2">
        <v>4484.0200000000004</v>
      </c>
      <c r="H1321" t="s">
        <v>35</v>
      </c>
      <c r="I1321">
        <v>45</v>
      </c>
    </row>
    <row r="1322" spans="1:9" hidden="1" x14ac:dyDescent="0.3">
      <c r="A1322" t="s">
        <v>1360</v>
      </c>
      <c r="B1322" t="s">
        <v>54</v>
      </c>
      <c r="D1322" t="s">
        <v>13</v>
      </c>
      <c r="F1322" t="s">
        <v>14</v>
      </c>
      <c r="G1322" s="2">
        <v>8649.68</v>
      </c>
      <c r="H1322" t="s">
        <v>11</v>
      </c>
      <c r="I1322">
        <v>0</v>
      </c>
    </row>
    <row r="1323" spans="1:9" hidden="1" x14ac:dyDescent="0.3">
      <c r="A1323" t="s">
        <v>1361</v>
      </c>
      <c r="B1323" t="s">
        <v>22</v>
      </c>
      <c r="D1323" t="s">
        <v>28</v>
      </c>
      <c r="F1323" t="s">
        <v>29</v>
      </c>
      <c r="G1323" s="2">
        <v>11049.62</v>
      </c>
      <c r="H1323" t="s">
        <v>11</v>
      </c>
      <c r="I1323">
        <v>0</v>
      </c>
    </row>
    <row r="1324" spans="1:9" hidden="1" x14ac:dyDescent="0.3">
      <c r="A1324" t="s">
        <v>1362</v>
      </c>
      <c r="B1324" t="s">
        <v>27</v>
      </c>
      <c r="D1324" t="s">
        <v>9</v>
      </c>
      <c r="F1324" t="s">
        <v>10</v>
      </c>
      <c r="G1324" s="2">
        <v>5775.18</v>
      </c>
      <c r="H1324" t="s">
        <v>15</v>
      </c>
      <c r="I1324">
        <v>3</v>
      </c>
    </row>
    <row r="1325" spans="1:9" hidden="1" x14ac:dyDescent="0.3">
      <c r="A1325" t="s">
        <v>1363</v>
      </c>
      <c r="B1325" t="s">
        <v>46</v>
      </c>
      <c r="D1325" t="s">
        <v>28</v>
      </c>
      <c r="F1325" t="s">
        <v>29</v>
      </c>
      <c r="G1325" s="2">
        <v>2670.25</v>
      </c>
      <c r="H1325" t="s">
        <v>20</v>
      </c>
      <c r="I1325">
        <v>5</v>
      </c>
    </row>
    <row r="1326" spans="1:9" hidden="1" x14ac:dyDescent="0.3">
      <c r="A1326" t="s">
        <v>1364</v>
      </c>
      <c r="B1326" t="s">
        <v>8</v>
      </c>
      <c r="D1326" t="s">
        <v>18</v>
      </c>
      <c r="F1326" t="s">
        <v>19</v>
      </c>
      <c r="G1326" s="2">
        <v>2119.17</v>
      </c>
      <c r="H1326" t="s">
        <v>15</v>
      </c>
      <c r="I1326">
        <v>35</v>
      </c>
    </row>
    <row r="1327" spans="1:9" x14ac:dyDescent="0.3">
      <c r="A1327" t="s">
        <v>1365</v>
      </c>
      <c r="B1327" t="s">
        <v>17</v>
      </c>
      <c r="D1327" t="s">
        <v>40</v>
      </c>
      <c r="F1327" t="s">
        <v>41</v>
      </c>
      <c r="G1327" s="2">
        <v>11073.83</v>
      </c>
      <c r="H1327" t="s">
        <v>35</v>
      </c>
      <c r="I1327">
        <v>56</v>
      </c>
    </row>
    <row r="1328" spans="1:9" hidden="1" x14ac:dyDescent="0.3">
      <c r="A1328" t="s">
        <v>1366</v>
      </c>
      <c r="B1328" t="s">
        <v>31</v>
      </c>
      <c r="D1328" t="s">
        <v>18</v>
      </c>
      <c r="F1328" t="s">
        <v>19</v>
      </c>
      <c r="G1328" s="2">
        <v>4840.93</v>
      </c>
      <c r="H1328" t="s">
        <v>47</v>
      </c>
      <c r="I1328">
        <v>33</v>
      </c>
    </row>
    <row r="1329" spans="1:9" hidden="1" x14ac:dyDescent="0.3">
      <c r="A1329" t="s">
        <v>1367</v>
      </c>
      <c r="B1329" t="s">
        <v>52</v>
      </c>
      <c r="D1329" t="s">
        <v>62</v>
      </c>
      <c r="F1329" t="s">
        <v>19</v>
      </c>
      <c r="G1329" s="2">
        <v>864.18</v>
      </c>
      <c r="H1329" t="s">
        <v>15</v>
      </c>
      <c r="I1329">
        <v>29</v>
      </c>
    </row>
    <row r="1330" spans="1:9" hidden="1" x14ac:dyDescent="0.3">
      <c r="A1330" t="s">
        <v>1368</v>
      </c>
      <c r="B1330" t="s">
        <v>52</v>
      </c>
      <c r="D1330" t="s">
        <v>13</v>
      </c>
      <c r="F1330" t="s">
        <v>14</v>
      </c>
      <c r="G1330" s="2">
        <v>7923.9</v>
      </c>
      <c r="H1330" t="s">
        <v>11</v>
      </c>
      <c r="I1330">
        <v>0</v>
      </c>
    </row>
    <row r="1331" spans="1:9" hidden="1" x14ac:dyDescent="0.3">
      <c r="A1331" t="s">
        <v>1369</v>
      </c>
      <c r="B1331" t="s">
        <v>8</v>
      </c>
      <c r="D1331" t="s">
        <v>32</v>
      </c>
      <c r="F1331" t="s">
        <v>33</v>
      </c>
      <c r="G1331" s="2">
        <v>5553.78</v>
      </c>
      <c r="H1331" t="s">
        <v>20</v>
      </c>
      <c r="I1331">
        <v>45</v>
      </c>
    </row>
    <row r="1332" spans="1:9" hidden="1" x14ac:dyDescent="0.3">
      <c r="A1332" t="s">
        <v>1370</v>
      </c>
      <c r="B1332" t="s">
        <v>31</v>
      </c>
      <c r="D1332" t="s">
        <v>18</v>
      </c>
      <c r="F1332" t="s">
        <v>19</v>
      </c>
      <c r="G1332" s="2">
        <v>13383.95</v>
      </c>
      <c r="H1332" t="s">
        <v>15</v>
      </c>
      <c r="I1332">
        <v>6</v>
      </c>
    </row>
    <row r="1333" spans="1:9" hidden="1" x14ac:dyDescent="0.3">
      <c r="A1333" t="s">
        <v>1371</v>
      </c>
      <c r="B1333" t="s">
        <v>44</v>
      </c>
      <c r="D1333" t="s">
        <v>24</v>
      </c>
      <c r="F1333" t="s">
        <v>25</v>
      </c>
      <c r="G1333" s="2">
        <v>4361.17</v>
      </c>
      <c r="H1333" t="s">
        <v>47</v>
      </c>
      <c r="I1333">
        <v>7</v>
      </c>
    </row>
    <row r="1334" spans="1:9" hidden="1" x14ac:dyDescent="0.3">
      <c r="A1334" t="s">
        <v>1372</v>
      </c>
      <c r="B1334" t="s">
        <v>46</v>
      </c>
      <c r="D1334" t="s">
        <v>62</v>
      </c>
      <c r="F1334" t="s">
        <v>19</v>
      </c>
      <c r="G1334" s="2">
        <v>1724.77</v>
      </c>
      <c r="H1334" t="s">
        <v>11</v>
      </c>
      <c r="I1334">
        <v>0</v>
      </c>
    </row>
    <row r="1335" spans="1:9" hidden="1" x14ac:dyDescent="0.3">
      <c r="A1335" t="s">
        <v>1373</v>
      </c>
      <c r="B1335" t="s">
        <v>44</v>
      </c>
      <c r="D1335" t="s">
        <v>99</v>
      </c>
      <c r="F1335" t="s">
        <v>29</v>
      </c>
      <c r="G1335" s="2">
        <v>4432.88</v>
      </c>
      <c r="H1335" t="s">
        <v>47</v>
      </c>
      <c r="I1335">
        <v>35</v>
      </c>
    </row>
    <row r="1336" spans="1:9" x14ac:dyDescent="0.3">
      <c r="A1336" t="s">
        <v>1374</v>
      </c>
      <c r="B1336" t="s">
        <v>22</v>
      </c>
      <c r="D1336" t="s">
        <v>40</v>
      </c>
      <c r="F1336" t="s">
        <v>41</v>
      </c>
      <c r="G1336" s="2">
        <v>5233.17</v>
      </c>
      <c r="H1336" t="s">
        <v>15</v>
      </c>
      <c r="I1336">
        <v>42</v>
      </c>
    </row>
    <row r="1337" spans="1:9" hidden="1" x14ac:dyDescent="0.3">
      <c r="A1337" t="s">
        <v>1375</v>
      </c>
      <c r="B1337" t="s">
        <v>46</v>
      </c>
      <c r="D1337" t="s">
        <v>62</v>
      </c>
      <c r="F1337" t="s">
        <v>19</v>
      </c>
      <c r="G1337" s="2">
        <v>2876.46</v>
      </c>
      <c r="H1337" t="s">
        <v>11</v>
      </c>
      <c r="I1337">
        <v>0</v>
      </c>
    </row>
    <row r="1338" spans="1:9" hidden="1" x14ac:dyDescent="0.3">
      <c r="A1338" t="s">
        <v>1376</v>
      </c>
      <c r="B1338" t="s">
        <v>27</v>
      </c>
      <c r="D1338" t="s">
        <v>28</v>
      </c>
      <c r="F1338" t="s">
        <v>29</v>
      </c>
      <c r="G1338" s="2">
        <v>6204.79</v>
      </c>
      <c r="H1338" t="s">
        <v>15</v>
      </c>
      <c r="I1338">
        <v>42</v>
      </c>
    </row>
    <row r="1339" spans="1:9" x14ac:dyDescent="0.3">
      <c r="A1339" t="s">
        <v>1377</v>
      </c>
      <c r="B1339" t="s">
        <v>46</v>
      </c>
      <c r="D1339" t="s">
        <v>40</v>
      </c>
      <c r="F1339" t="s">
        <v>41</v>
      </c>
      <c r="G1339" s="2">
        <v>8920.69</v>
      </c>
      <c r="H1339" t="s">
        <v>20</v>
      </c>
      <c r="I1339">
        <v>54</v>
      </c>
    </row>
    <row r="1340" spans="1:9" x14ac:dyDescent="0.3">
      <c r="A1340" t="s">
        <v>1378</v>
      </c>
      <c r="B1340" t="s">
        <v>37</v>
      </c>
      <c r="D1340" t="s">
        <v>40</v>
      </c>
      <c r="F1340" t="s">
        <v>41</v>
      </c>
      <c r="G1340" s="2">
        <v>6897.21</v>
      </c>
      <c r="H1340" t="s">
        <v>20</v>
      </c>
      <c r="I1340">
        <v>58</v>
      </c>
    </row>
    <row r="1341" spans="1:9" hidden="1" x14ac:dyDescent="0.3">
      <c r="A1341" t="s">
        <v>1379</v>
      </c>
      <c r="B1341" t="s">
        <v>22</v>
      </c>
      <c r="D1341" t="s">
        <v>24</v>
      </c>
      <c r="F1341" t="s">
        <v>25</v>
      </c>
      <c r="G1341" s="2">
        <v>11849.55</v>
      </c>
      <c r="H1341" t="s">
        <v>11</v>
      </c>
      <c r="I1341">
        <v>0</v>
      </c>
    </row>
    <row r="1342" spans="1:9" hidden="1" x14ac:dyDescent="0.3">
      <c r="A1342" t="s">
        <v>1380</v>
      </c>
      <c r="B1342" t="s">
        <v>54</v>
      </c>
      <c r="D1342" t="s">
        <v>24</v>
      </c>
      <c r="F1342" t="s">
        <v>25</v>
      </c>
      <c r="G1342" s="2">
        <v>5329.16</v>
      </c>
      <c r="H1342" t="s">
        <v>15</v>
      </c>
      <c r="I1342">
        <v>11</v>
      </c>
    </row>
    <row r="1343" spans="1:9" hidden="1" x14ac:dyDescent="0.3">
      <c r="A1343" t="s">
        <v>1381</v>
      </c>
      <c r="B1343" t="s">
        <v>44</v>
      </c>
      <c r="D1343" t="s">
        <v>24</v>
      </c>
      <c r="F1343" t="s">
        <v>25</v>
      </c>
      <c r="G1343" s="2">
        <v>10691.59</v>
      </c>
      <c r="H1343" t="s">
        <v>15</v>
      </c>
      <c r="I1343">
        <v>12</v>
      </c>
    </row>
    <row r="1344" spans="1:9" hidden="1" x14ac:dyDescent="0.3">
      <c r="A1344" t="s">
        <v>1382</v>
      </c>
      <c r="B1344" t="s">
        <v>52</v>
      </c>
      <c r="D1344" t="s">
        <v>24</v>
      </c>
      <c r="F1344" t="s">
        <v>25</v>
      </c>
      <c r="G1344" s="2">
        <v>3606.68</v>
      </c>
      <c r="H1344" t="s">
        <v>11</v>
      </c>
      <c r="I1344">
        <v>0</v>
      </c>
    </row>
    <row r="1345" spans="1:9" hidden="1" x14ac:dyDescent="0.3">
      <c r="A1345" t="s">
        <v>1383</v>
      </c>
      <c r="B1345" t="s">
        <v>27</v>
      </c>
      <c r="D1345" t="s">
        <v>62</v>
      </c>
      <c r="F1345" t="s">
        <v>19</v>
      </c>
      <c r="G1345" s="2">
        <v>5576.6</v>
      </c>
      <c r="H1345" t="s">
        <v>11</v>
      </c>
      <c r="I1345">
        <v>0</v>
      </c>
    </row>
    <row r="1346" spans="1:9" hidden="1" x14ac:dyDescent="0.3">
      <c r="A1346" t="s">
        <v>1384</v>
      </c>
      <c r="B1346" t="s">
        <v>46</v>
      </c>
      <c r="D1346" t="s">
        <v>28</v>
      </c>
      <c r="F1346" t="s">
        <v>29</v>
      </c>
      <c r="G1346" s="2">
        <v>2261.77</v>
      </c>
      <c r="H1346" t="s">
        <v>15</v>
      </c>
      <c r="I1346">
        <v>11</v>
      </c>
    </row>
    <row r="1347" spans="1:9" hidden="1" x14ac:dyDescent="0.3">
      <c r="A1347" t="s">
        <v>1385</v>
      </c>
      <c r="B1347" t="s">
        <v>44</v>
      </c>
      <c r="D1347" t="s">
        <v>62</v>
      </c>
      <c r="F1347" t="s">
        <v>19</v>
      </c>
      <c r="G1347" s="2">
        <v>1866.28</v>
      </c>
      <c r="H1347" t="s">
        <v>11</v>
      </c>
      <c r="I1347">
        <v>15</v>
      </c>
    </row>
    <row r="1348" spans="1:9" x14ac:dyDescent="0.3">
      <c r="A1348" t="s">
        <v>1386</v>
      </c>
      <c r="B1348" t="s">
        <v>37</v>
      </c>
      <c r="D1348" t="s">
        <v>40</v>
      </c>
      <c r="F1348" t="s">
        <v>41</v>
      </c>
      <c r="G1348" s="2">
        <v>13920.78</v>
      </c>
      <c r="H1348" t="s">
        <v>11</v>
      </c>
      <c r="I1348">
        <v>0</v>
      </c>
    </row>
    <row r="1349" spans="1:9" x14ac:dyDescent="0.3">
      <c r="A1349" t="s">
        <v>1387</v>
      </c>
      <c r="B1349" t="s">
        <v>54</v>
      </c>
      <c r="D1349" t="s">
        <v>40</v>
      </c>
      <c r="F1349" t="s">
        <v>41</v>
      </c>
      <c r="G1349" s="2">
        <v>13444.86</v>
      </c>
      <c r="H1349" t="s">
        <v>47</v>
      </c>
      <c r="I1349">
        <v>49</v>
      </c>
    </row>
    <row r="1350" spans="1:9" hidden="1" x14ac:dyDescent="0.3">
      <c r="A1350" t="s">
        <v>1388</v>
      </c>
      <c r="B1350" t="s">
        <v>52</v>
      </c>
      <c r="D1350" t="s">
        <v>24</v>
      </c>
      <c r="F1350" t="s">
        <v>25</v>
      </c>
      <c r="G1350" s="2">
        <v>12003.66</v>
      </c>
      <c r="H1350" t="s">
        <v>35</v>
      </c>
      <c r="I1350">
        <v>60</v>
      </c>
    </row>
    <row r="1351" spans="1:9" hidden="1" x14ac:dyDescent="0.3">
      <c r="A1351" t="s">
        <v>1389</v>
      </c>
      <c r="B1351" t="s">
        <v>22</v>
      </c>
      <c r="D1351" t="s">
        <v>28</v>
      </c>
      <c r="F1351" t="s">
        <v>29</v>
      </c>
      <c r="G1351" s="2">
        <v>10352.75</v>
      </c>
      <c r="H1351" t="s">
        <v>35</v>
      </c>
      <c r="I1351">
        <v>58</v>
      </c>
    </row>
    <row r="1352" spans="1:9" hidden="1" x14ac:dyDescent="0.3">
      <c r="A1352" t="s">
        <v>1390</v>
      </c>
      <c r="B1352" t="s">
        <v>54</v>
      </c>
      <c r="D1352" t="s">
        <v>24</v>
      </c>
      <c r="F1352" t="s">
        <v>25</v>
      </c>
      <c r="G1352" s="2">
        <v>10186.219999999999</v>
      </c>
      <c r="H1352" t="s">
        <v>11</v>
      </c>
      <c r="I1352">
        <v>1</v>
      </c>
    </row>
    <row r="1353" spans="1:9" hidden="1" x14ac:dyDescent="0.3">
      <c r="A1353" t="s">
        <v>1391</v>
      </c>
      <c r="B1353" t="s">
        <v>54</v>
      </c>
      <c r="D1353" t="s">
        <v>18</v>
      </c>
      <c r="F1353" t="s">
        <v>19</v>
      </c>
      <c r="G1353" s="2">
        <v>6717.29</v>
      </c>
      <c r="H1353" t="s">
        <v>11</v>
      </c>
      <c r="I1353">
        <v>0</v>
      </c>
    </row>
    <row r="1354" spans="1:9" hidden="1" x14ac:dyDescent="0.3">
      <c r="A1354" t="s">
        <v>1392</v>
      </c>
      <c r="B1354" t="s">
        <v>17</v>
      </c>
      <c r="D1354" t="s">
        <v>13</v>
      </c>
      <c r="F1354" t="s">
        <v>14</v>
      </c>
      <c r="G1354" s="2">
        <v>3371.05</v>
      </c>
      <c r="H1354" t="s">
        <v>47</v>
      </c>
      <c r="I1354">
        <v>18</v>
      </c>
    </row>
    <row r="1355" spans="1:9" hidden="1" x14ac:dyDescent="0.3">
      <c r="A1355" t="s">
        <v>1393</v>
      </c>
      <c r="B1355" t="s">
        <v>8</v>
      </c>
      <c r="D1355" t="s">
        <v>99</v>
      </c>
      <c r="F1355" t="s">
        <v>29</v>
      </c>
      <c r="G1355" s="2">
        <v>1299.6600000000001</v>
      </c>
      <c r="H1355" t="s">
        <v>35</v>
      </c>
      <c r="I1355">
        <v>44</v>
      </c>
    </row>
    <row r="1356" spans="1:9" hidden="1" x14ac:dyDescent="0.3">
      <c r="A1356" t="s">
        <v>1394</v>
      </c>
      <c r="B1356" t="s">
        <v>54</v>
      </c>
      <c r="D1356" t="s">
        <v>13</v>
      </c>
      <c r="F1356" t="s">
        <v>14</v>
      </c>
      <c r="G1356" s="2">
        <v>5946.63</v>
      </c>
      <c r="H1356" t="s">
        <v>15</v>
      </c>
      <c r="I1356">
        <v>39</v>
      </c>
    </row>
    <row r="1357" spans="1:9" hidden="1" x14ac:dyDescent="0.3">
      <c r="A1357" t="s">
        <v>1395</v>
      </c>
      <c r="B1357" t="s">
        <v>31</v>
      </c>
      <c r="D1357" t="s">
        <v>13</v>
      </c>
      <c r="F1357" t="s">
        <v>14</v>
      </c>
      <c r="G1357" s="2">
        <v>14153.86</v>
      </c>
      <c r="H1357" t="s">
        <v>47</v>
      </c>
      <c r="I1357">
        <v>24</v>
      </c>
    </row>
    <row r="1358" spans="1:9" hidden="1" x14ac:dyDescent="0.3">
      <c r="A1358" t="s">
        <v>1396</v>
      </c>
      <c r="B1358" t="s">
        <v>27</v>
      </c>
      <c r="D1358" t="s">
        <v>24</v>
      </c>
      <c r="F1358" t="s">
        <v>25</v>
      </c>
      <c r="G1358" s="2">
        <v>10753.66</v>
      </c>
      <c r="H1358" t="s">
        <v>15</v>
      </c>
      <c r="I1358">
        <v>25</v>
      </c>
    </row>
    <row r="1359" spans="1:9" hidden="1" x14ac:dyDescent="0.3">
      <c r="A1359" t="s">
        <v>1397</v>
      </c>
      <c r="B1359" t="s">
        <v>46</v>
      </c>
      <c r="D1359" t="s">
        <v>99</v>
      </c>
      <c r="F1359" t="s">
        <v>29</v>
      </c>
      <c r="G1359" s="2">
        <v>4305.5200000000004</v>
      </c>
      <c r="H1359" t="s">
        <v>15</v>
      </c>
      <c r="I1359">
        <v>29</v>
      </c>
    </row>
    <row r="1360" spans="1:9" hidden="1" x14ac:dyDescent="0.3">
      <c r="A1360" t="s">
        <v>1398</v>
      </c>
      <c r="B1360" t="s">
        <v>31</v>
      </c>
      <c r="D1360" t="s">
        <v>9</v>
      </c>
      <c r="F1360" t="s">
        <v>10</v>
      </c>
      <c r="G1360" s="2">
        <v>3274.64</v>
      </c>
      <c r="H1360" t="s">
        <v>47</v>
      </c>
      <c r="I1360">
        <v>48</v>
      </c>
    </row>
    <row r="1361" spans="1:9" x14ac:dyDescent="0.3">
      <c r="A1361" t="s">
        <v>1399</v>
      </c>
      <c r="B1361" t="s">
        <v>31</v>
      </c>
      <c r="D1361" t="s">
        <v>40</v>
      </c>
      <c r="F1361" t="s">
        <v>41</v>
      </c>
      <c r="G1361" s="2">
        <v>4365.08</v>
      </c>
      <c r="H1361" t="s">
        <v>35</v>
      </c>
      <c r="I1361">
        <v>58</v>
      </c>
    </row>
    <row r="1362" spans="1:9" hidden="1" x14ac:dyDescent="0.3">
      <c r="A1362" t="s">
        <v>1400</v>
      </c>
      <c r="B1362" t="s">
        <v>44</v>
      </c>
      <c r="D1362" t="s">
        <v>56</v>
      </c>
      <c r="F1362" t="s">
        <v>57</v>
      </c>
      <c r="G1362" s="2">
        <v>2136.54</v>
      </c>
      <c r="H1362" t="s">
        <v>20</v>
      </c>
      <c r="I1362">
        <v>6</v>
      </c>
    </row>
    <row r="1363" spans="1:9" hidden="1" x14ac:dyDescent="0.3">
      <c r="A1363" t="s">
        <v>1401</v>
      </c>
      <c r="B1363" t="s">
        <v>27</v>
      </c>
      <c r="D1363" t="s">
        <v>18</v>
      </c>
      <c r="F1363" t="s">
        <v>19</v>
      </c>
      <c r="G1363" s="2">
        <v>4583.3100000000004</v>
      </c>
      <c r="H1363" t="s">
        <v>47</v>
      </c>
      <c r="I1363">
        <v>34</v>
      </c>
    </row>
    <row r="1364" spans="1:9" hidden="1" x14ac:dyDescent="0.3">
      <c r="A1364" t="s">
        <v>1402</v>
      </c>
      <c r="B1364" t="s">
        <v>8</v>
      </c>
      <c r="D1364" t="s">
        <v>9</v>
      </c>
      <c r="F1364" t="s">
        <v>10</v>
      </c>
      <c r="G1364" s="2">
        <v>14000.64</v>
      </c>
      <c r="H1364" t="s">
        <v>20</v>
      </c>
      <c r="I1364">
        <v>25</v>
      </c>
    </row>
    <row r="1365" spans="1:9" hidden="1" x14ac:dyDescent="0.3">
      <c r="A1365" t="s">
        <v>1403</v>
      </c>
      <c r="B1365" t="s">
        <v>44</v>
      </c>
      <c r="D1365" t="s">
        <v>99</v>
      </c>
      <c r="F1365" t="s">
        <v>29</v>
      </c>
      <c r="G1365" s="2">
        <v>6171.44</v>
      </c>
      <c r="H1365" t="s">
        <v>47</v>
      </c>
      <c r="I1365">
        <v>27</v>
      </c>
    </row>
    <row r="1366" spans="1:9" hidden="1" x14ac:dyDescent="0.3">
      <c r="A1366" t="s">
        <v>1404</v>
      </c>
      <c r="B1366" t="s">
        <v>44</v>
      </c>
      <c r="D1366" t="s">
        <v>13</v>
      </c>
      <c r="F1366" t="s">
        <v>14</v>
      </c>
      <c r="G1366" s="2">
        <v>6958.69</v>
      </c>
      <c r="H1366" t="s">
        <v>20</v>
      </c>
      <c r="I1366">
        <v>59</v>
      </c>
    </row>
    <row r="1367" spans="1:9" hidden="1" x14ac:dyDescent="0.3">
      <c r="A1367" t="s">
        <v>1405</v>
      </c>
      <c r="B1367" t="s">
        <v>52</v>
      </c>
      <c r="D1367" t="s">
        <v>18</v>
      </c>
      <c r="F1367" t="s">
        <v>19</v>
      </c>
      <c r="G1367" s="2">
        <v>2830.8</v>
      </c>
      <c r="H1367" t="s">
        <v>15</v>
      </c>
      <c r="I1367">
        <v>36</v>
      </c>
    </row>
    <row r="1368" spans="1:9" hidden="1" x14ac:dyDescent="0.3">
      <c r="A1368" t="s">
        <v>1406</v>
      </c>
      <c r="B1368" t="s">
        <v>37</v>
      </c>
      <c r="D1368" t="s">
        <v>99</v>
      </c>
      <c r="F1368" t="s">
        <v>29</v>
      </c>
      <c r="G1368" s="2">
        <v>12350.85</v>
      </c>
      <c r="H1368" t="s">
        <v>15</v>
      </c>
      <c r="I1368">
        <v>38</v>
      </c>
    </row>
    <row r="1369" spans="1:9" x14ac:dyDescent="0.3">
      <c r="A1369" t="s">
        <v>1407</v>
      </c>
      <c r="B1369" t="s">
        <v>22</v>
      </c>
      <c r="D1369" t="s">
        <v>40</v>
      </c>
      <c r="F1369" t="s">
        <v>41</v>
      </c>
      <c r="G1369" s="2">
        <v>8411.25</v>
      </c>
      <c r="H1369" t="s">
        <v>15</v>
      </c>
      <c r="I1369">
        <v>2</v>
      </c>
    </row>
    <row r="1370" spans="1:9" hidden="1" x14ac:dyDescent="0.3">
      <c r="A1370" t="s">
        <v>1408</v>
      </c>
      <c r="B1370" t="s">
        <v>52</v>
      </c>
      <c r="D1370" t="s">
        <v>24</v>
      </c>
      <c r="F1370" t="s">
        <v>25</v>
      </c>
      <c r="G1370" s="2">
        <v>3977.02</v>
      </c>
      <c r="H1370" t="s">
        <v>47</v>
      </c>
      <c r="I1370">
        <v>54</v>
      </c>
    </row>
    <row r="1371" spans="1:9" hidden="1" x14ac:dyDescent="0.3">
      <c r="A1371" t="s">
        <v>1409</v>
      </c>
      <c r="B1371" t="s">
        <v>44</v>
      </c>
      <c r="D1371" t="s">
        <v>9</v>
      </c>
      <c r="F1371" t="s">
        <v>10</v>
      </c>
      <c r="G1371" s="2">
        <v>9824.5</v>
      </c>
      <c r="H1371" t="s">
        <v>47</v>
      </c>
      <c r="I1371">
        <v>27</v>
      </c>
    </row>
    <row r="1372" spans="1:9" x14ac:dyDescent="0.3">
      <c r="A1372" t="s">
        <v>1410</v>
      </c>
      <c r="B1372" t="s">
        <v>8</v>
      </c>
      <c r="D1372" t="s">
        <v>40</v>
      </c>
      <c r="F1372" t="s">
        <v>41</v>
      </c>
      <c r="G1372" s="2">
        <v>13606.56</v>
      </c>
      <c r="H1372" t="s">
        <v>20</v>
      </c>
      <c r="I1372">
        <v>2</v>
      </c>
    </row>
    <row r="1373" spans="1:9" hidden="1" x14ac:dyDescent="0.3">
      <c r="A1373" t="s">
        <v>1411</v>
      </c>
      <c r="B1373" t="s">
        <v>27</v>
      </c>
      <c r="D1373" t="s">
        <v>62</v>
      </c>
      <c r="F1373" t="s">
        <v>19</v>
      </c>
      <c r="G1373" s="2">
        <v>7421.1</v>
      </c>
      <c r="H1373" t="s">
        <v>47</v>
      </c>
      <c r="I1373">
        <v>39</v>
      </c>
    </row>
    <row r="1374" spans="1:9" hidden="1" x14ac:dyDescent="0.3">
      <c r="A1374" t="s">
        <v>1412</v>
      </c>
      <c r="B1374" t="s">
        <v>52</v>
      </c>
      <c r="D1374" t="s">
        <v>32</v>
      </c>
      <c r="F1374" t="s">
        <v>33</v>
      </c>
      <c r="G1374" s="2">
        <v>7233.26</v>
      </c>
      <c r="H1374" t="s">
        <v>15</v>
      </c>
      <c r="I1374">
        <v>17</v>
      </c>
    </row>
    <row r="1375" spans="1:9" hidden="1" x14ac:dyDescent="0.3">
      <c r="A1375" t="s">
        <v>1413</v>
      </c>
      <c r="B1375" t="s">
        <v>37</v>
      </c>
      <c r="D1375" t="s">
        <v>9</v>
      </c>
      <c r="F1375" t="s">
        <v>10</v>
      </c>
      <c r="G1375" s="2">
        <v>5629.37</v>
      </c>
      <c r="H1375" t="s">
        <v>35</v>
      </c>
      <c r="I1375">
        <v>2</v>
      </c>
    </row>
    <row r="1376" spans="1:9" hidden="1" x14ac:dyDescent="0.3">
      <c r="A1376" t="s">
        <v>1414</v>
      </c>
      <c r="B1376" t="s">
        <v>27</v>
      </c>
      <c r="D1376" t="s">
        <v>24</v>
      </c>
      <c r="F1376" t="s">
        <v>25</v>
      </c>
      <c r="G1376" s="2">
        <v>8745.73</v>
      </c>
      <c r="H1376" t="s">
        <v>11</v>
      </c>
      <c r="I1376">
        <v>0</v>
      </c>
    </row>
    <row r="1377" spans="1:9" hidden="1" x14ac:dyDescent="0.3">
      <c r="A1377" t="s">
        <v>1415</v>
      </c>
      <c r="B1377" t="s">
        <v>27</v>
      </c>
      <c r="D1377" t="s">
        <v>24</v>
      </c>
      <c r="F1377" t="s">
        <v>25</v>
      </c>
      <c r="G1377" s="2">
        <v>840.68</v>
      </c>
      <c r="H1377" t="s">
        <v>15</v>
      </c>
      <c r="I1377">
        <v>41</v>
      </c>
    </row>
    <row r="1378" spans="1:9" hidden="1" x14ac:dyDescent="0.3">
      <c r="A1378" t="s">
        <v>1416</v>
      </c>
      <c r="B1378" t="s">
        <v>8</v>
      </c>
      <c r="D1378" t="s">
        <v>99</v>
      </c>
      <c r="F1378" t="s">
        <v>29</v>
      </c>
      <c r="G1378" s="2">
        <v>4383.3500000000004</v>
      </c>
      <c r="H1378" t="s">
        <v>15</v>
      </c>
      <c r="I1378">
        <v>60</v>
      </c>
    </row>
    <row r="1379" spans="1:9" hidden="1" x14ac:dyDescent="0.3">
      <c r="A1379" t="s">
        <v>1417</v>
      </c>
      <c r="B1379" t="s">
        <v>8</v>
      </c>
      <c r="D1379" t="s">
        <v>13</v>
      </c>
      <c r="F1379" t="s">
        <v>14</v>
      </c>
      <c r="G1379" s="2">
        <v>2947.53</v>
      </c>
      <c r="H1379" t="s">
        <v>20</v>
      </c>
      <c r="I1379">
        <v>49</v>
      </c>
    </row>
    <row r="1380" spans="1:9" hidden="1" x14ac:dyDescent="0.3">
      <c r="A1380" t="s">
        <v>1418</v>
      </c>
      <c r="B1380" t="s">
        <v>27</v>
      </c>
      <c r="D1380" t="s">
        <v>32</v>
      </c>
      <c r="F1380" t="s">
        <v>33</v>
      </c>
      <c r="G1380" s="2">
        <v>11301.8</v>
      </c>
      <c r="H1380" t="s">
        <v>15</v>
      </c>
      <c r="I1380">
        <v>56</v>
      </c>
    </row>
    <row r="1381" spans="1:9" hidden="1" x14ac:dyDescent="0.3">
      <c r="A1381" t="s">
        <v>1419</v>
      </c>
      <c r="B1381" t="s">
        <v>8</v>
      </c>
      <c r="D1381" t="s">
        <v>62</v>
      </c>
      <c r="F1381" t="s">
        <v>19</v>
      </c>
      <c r="G1381" s="2">
        <v>4108.3100000000004</v>
      </c>
      <c r="H1381" t="s">
        <v>20</v>
      </c>
      <c r="I1381">
        <v>24</v>
      </c>
    </row>
    <row r="1382" spans="1:9" hidden="1" x14ac:dyDescent="0.3">
      <c r="A1382" t="s">
        <v>1420</v>
      </c>
      <c r="B1382" t="s">
        <v>44</v>
      </c>
      <c r="D1382" t="s">
        <v>13</v>
      </c>
      <c r="F1382" t="s">
        <v>14</v>
      </c>
      <c r="G1382" s="2">
        <v>8721.7000000000007</v>
      </c>
      <c r="H1382" t="s">
        <v>35</v>
      </c>
      <c r="I1382">
        <v>1</v>
      </c>
    </row>
    <row r="1383" spans="1:9" hidden="1" x14ac:dyDescent="0.3">
      <c r="A1383" t="s">
        <v>1421</v>
      </c>
      <c r="B1383" t="s">
        <v>27</v>
      </c>
      <c r="D1383" t="s">
        <v>13</v>
      </c>
      <c r="F1383" t="s">
        <v>14</v>
      </c>
      <c r="G1383" s="2">
        <v>4257.2</v>
      </c>
      <c r="H1383" t="s">
        <v>35</v>
      </c>
      <c r="I1383">
        <v>27</v>
      </c>
    </row>
    <row r="1384" spans="1:9" hidden="1" x14ac:dyDescent="0.3">
      <c r="A1384" t="s">
        <v>1422</v>
      </c>
      <c r="B1384" t="s">
        <v>46</v>
      </c>
      <c r="D1384" t="s">
        <v>24</v>
      </c>
      <c r="F1384" t="s">
        <v>25</v>
      </c>
      <c r="G1384" s="2">
        <v>1581.15</v>
      </c>
      <c r="H1384" t="s">
        <v>11</v>
      </c>
      <c r="I1384">
        <v>0</v>
      </c>
    </row>
    <row r="1385" spans="1:9" hidden="1" x14ac:dyDescent="0.3">
      <c r="A1385" t="s">
        <v>1423</v>
      </c>
      <c r="B1385" t="s">
        <v>46</v>
      </c>
      <c r="D1385" t="s">
        <v>32</v>
      </c>
      <c r="F1385" t="s">
        <v>33</v>
      </c>
      <c r="G1385" s="2">
        <v>10360.31</v>
      </c>
      <c r="H1385" t="s">
        <v>47</v>
      </c>
      <c r="I1385">
        <v>55</v>
      </c>
    </row>
    <row r="1386" spans="1:9" hidden="1" x14ac:dyDescent="0.3">
      <c r="A1386" t="s">
        <v>1424</v>
      </c>
      <c r="B1386" t="s">
        <v>52</v>
      </c>
      <c r="D1386" t="s">
        <v>13</v>
      </c>
      <c r="F1386" t="s">
        <v>14</v>
      </c>
      <c r="G1386" s="2">
        <v>10548.86</v>
      </c>
      <c r="H1386" t="s">
        <v>35</v>
      </c>
      <c r="I1386">
        <v>27</v>
      </c>
    </row>
    <row r="1387" spans="1:9" hidden="1" x14ac:dyDescent="0.3">
      <c r="A1387" t="s">
        <v>1425</v>
      </c>
      <c r="B1387" t="s">
        <v>27</v>
      </c>
      <c r="D1387" t="s">
        <v>9</v>
      </c>
      <c r="F1387" t="s">
        <v>10</v>
      </c>
      <c r="G1387" s="2">
        <v>1792.66</v>
      </c>
      <c r="H1387" t="s">
        <v>11</v>
      </c>
      <c r="I1387">
        <v>1</v>
      </c>
    </row>
    <row r="1388" spans="1:9" hidden="1" x14ac:dyDescent="0.3">
      <c r="A1388" t="s">
        <v>1426</v>
      </c>
      <c r="B1388" t="s">
        <v>44</v>
      </c>
      <c r="D1388" t="s">
        <v>62</v>
      </c>
      <c r="F1388" t="s">
        <v>19</v>
      </c>
      <c r="G1388" s="2">
        <v>10381.209999999999</v>
      </c>
      <c r="H1388" t="s">
        <v>11</v>
      </c>
      <c r="I1388">
        <v>0</v>
      </c>
    </row>
    <row r="1389" spans="1:9" hidden="1" x14ac:dyDescent="0.3">
      <c r="A1389" t="s">
        <v>1427</v>
      </c>
      <c r="B1389" t="s">
        <v>44</v>
      </c>
      <c r="D1389" t="s">
        <v>62</v>
      </c>
      <c r="F1389" t="s">
        <v>19</v>
      </c>
      <c r="G1389" s="2">
        <v>479.96</v>
      </c>
      <c r="H1389" t="s">
        <v>35</v>
      </c>
      <c r="I1389">
        <v>15</v>
      </c>
    </row>
    <row r="1390" spans="1:9" hidden="1" x14ac:dyDescent="0.3">
      <c r="A1390" t="s">
        <v>1428</v>
      </c>
      <c r="B1390" t="s">
        <v>44</v>
      </c>
      <c r="D1390" t="s">
        <v>24</v>
      </c>
      <c r="F1390" t="s">
        <v>25</v>
      </c>
      <c r="G1390" s="2">
        <v>10336.31</v>
      </c>
      <c r="H1390" t="s">
        <v>15</v>
      </c>
      <c r="I1390">
        <v>14</v>
      </c>
    </row>
    <row r="1391" spans="1:9" hidden="1" x14ac:dyDescent="0.3">
      <c r="A1391" t="s">
        <v>1429</v>
      </c>
      <c r="B1391" t="s">
        <v>8</v>
      </c>
      <c r="D1391" t="s">
        <v>9</v>
      </c>
      <c r="F1391" t="s">
        <v>10</v>
      </c>
      <c r="G1391" s="2">
        <v>6400.84</v>
      </c>
      <c r="H1391" t="s">
        <v>35</v>
      </c>
      <c r="I1391">
        <v>8</v>
      </c>
    </row>
    <row r="1392" spans="1:9" hidden="1" x14ac:dyDescent="0.3">
      <c r="A1392" t="s">
        <v>1430</v>
      </c>
      <c r="B1392" t="s">
        <v>17</v>
      </c>
      <c r="D1392" t="s">
        <v>99</v>
      </c>
      <c r="F1392" t="s">
        <v>29</v>
      </c>
      <c r="G1392" s="2">
        <v>11631.65</v>
      </c>
      <c r="H1392" t="s">
        <v>35</v>
      </c>
      <c r="I1392">
        <v>3</v>
      </c>
    </row>
    <row r="1393" spans="1:9" hidden="1" x14ac:dyDescent="0.3">
      <c r="A1393" t="s">
        <v>1431</v>
      </c>
      <c r="B1393" t="s">
        <v>22</v>
      </c>
      <c r="D1393" t="s">
        <v>9</v>
      </c>
      <c r="F1393" t="s">
        <v>10</v>
      </c>
      <c r="G1393" s="2">
        <v>540.25</v>
      </c>
      <c r="H1393" t="s">
        <v>20</v>
      </c>
      <c r="I1393">
        <v>38</v>
      </c>
    </row>
    <row r="1394" spans="1:9" x14ac:dyDescent="0.3">
      <c r="A1394" t="s">
        <v>1432</v>
      </c>
      <c r="B1394" t="s">
        <v>22</v>
      </c>
      <c r="D1394" t="s">
        <v>40</v>
      </c>
      <c r="F1394" t="s">
        <v>41</v>
      </c>
      <c r="G1394" s="2">
        <v>1827.89</v>
      </c>
      <c r="H1394" t="s">
        <v>11</v>
      </c>
      <c r="I1394">
        <v>0</v>
      </c>
    </row>
    <row r="1395" spans="1:9" hidden="1" x14ac:dyDescent="0.3">
      <c r="A1395" t="s">
        <v>1433</v>
      </c>
      <c r="B1395" t="s">
        <v>54</v>
      </c>
      <c r="D1395" t="s">
        <v>9</v>
      </c>
      <c r="F1395" t="s">
        <v>10</v>
      </c>
      <c r="G1395" s="2">
        <v>11746.44</v>
      </c>
      <c r="H1395" t="s">
        <v>47</v>
      </c>
      <c r="I1395">
        <v>14</v>
      </c>
    </row>
    <row r="1396" spans="1:9" hidden="1" x14ac:dyDescent="0.3">
      <c r="A1396" t="s">
        <v>1434</v>
      </c>
      <c r="B1396" t="s">
        <v>44</v>
      </c>
      <c r="D1396" t="s">
        <v>18</v>
      </c>
      <c r="F1396" t="s">
        <v>19</v>
      </c>
      <c r="G1396" s="2">
        <v>2812.49</v>
      </c>
      <c r="H1396" t="s">
        <v>15</v>
      </c>
      <c r="I1396">
        <v>6</v>
      </c>
    </row>
    <row r="1397" spans="1:9" hidden="1" x14ac:dyDescent="0.3">
      <c r="A1397" t="s">
        <v>1435</v>
      </c>
      <c r="B1397" t="s">
        <v>46</v>
      </c>
      <c r="D1397" t="s">
        <v>62</v>
      </c>
      <c r="F1397" t="s">
        <v>19</v>
      </c>
      <c r="G1397" s="2">
        <v>14234.43</v>
      </c>
      <c r="H1397" t="s">
        <v>15</v>
      </c>
      <c r="I1397">
        <v>11</v>
      </c>
    </row>
    <row r="1398" spans="1:9" hidden="1" x14ac:dyDescent="0.3">
      <c r="A1398" t="s">
        <v>1436</v>
      </c>
      <c r="B1398" t="s">
        <v>54</v>
      </c>
      <c r="D1398" t="s">
        <v>32</v>
      </c>
      <c r="F1398" t="s">
        <v>33</v>
      </c>
      <c r="G1398" s="2">
        <v>3665.25</v>
      </c>
      <c r="H1398" t="s">
        <v>20</v>
      </c>
      <c r="I1398">
        <v>7</v>
      </c>
    </row>
    <row r="1399" spans="1:9" hidden="1" x14ac:dyDescent="0.3">
      <c r="A1399" t="s">
        <v>1437</v>
      </c>
      <c r="B1399" t="s">
        <v>44</v>
      </c>
      <c r="D1399" t="s">
        <v>99</v>
      </c>
      <c r="F1399" t="s">
        <v>29</v>
      </c>
      <c r="G1399" s="2">
        <v>7956.14</v>
      </c>
      <c r="H1399" t="s">
        <v>20</v>
      </c>
      <c r="I1399">
        <v>19</v>
      </c>
    </row>
    <row r="1400" spans="1:9" hidden="1" x14ac:dyDescent="0.3">
      <c r="A1400" t="s">
        <v>1438</v>
      </c>
      <c r="B1400" t="s">
        <v>17</v>
      </c>
      <c r="D1400" t="s">
        <v>13</v>
      </c>
      <c r="F1400" t="s">
        <v>14</v>
      </c>
      <c r="G1400" s="2">
        <v>114.72</v>
      </c>
      <c r="H1400" t="s">
        <v>35</v>
      </c>
      <c r="I1400">
        <v>60</v>
      </c>
    </row>
    <row r="1401" spans="1:9" hidden="1" x14ac:dyDescent="0.3">
      <c r="A1401" t="s">
        <v>1439</v>
      </c>
      <c r="B1401" t="s">
        <v>54</v>
      </c>
      <c r="D1401" t="s">
        <v>13</v>
      </c>
      <c r="F1401" t="s">
        <v>14</v>
      </c>
      <c r="G1401" s="2">
        <v>12776.89</v>
      </c>
      <c r="H1401" t="s">
        <v>15</v>
      </c>
      <c r="I1401">
        <v>45</v>
      </c>
    </row>
    <row r="1402" spans="1:9" hidden="1" x14ac:dyDescent="0.3">
      <c r="A1402" t="s">
        <v>1440</v>
      </c>
      <c r="B1402" t="s">
        <v>27</v>
      </c>
      <c r="D1402" t="s">
        <v>24</v>
      </c>
      <c r="F1402" t="s">
        <v>25</v>
      </c>
      <c r="G1402" s="2">
        <v>6623</v>
      </c>
      <c r="H1402" t="s">
        <v>47</v>
      </c>
      <c r="I1402">
        <v>12</v>
      </c>
    </row>
    <row r="1403" spans="1:9" hidden="1" x14ac:dyDescent="0.3">
      <c r="A1403" t="s">
        <v>1441</v>
      </c>
      <c r="B1403" t="s">
        <v>8</v>
      </c>
      <c r="D1403" t="s">
        <v>56</v>
      </c>
      <c r="F1403" t="s">
        <v>57</v>
      </c>
      <c r="G1403" s="2">
        <v>6390.17</v>
      </c>
      <c r="H1403" t="s">
        <v>15</v>
      </c>
      <c r="I1403">
        <v>27</v>
      </c>
    </row>
    <row r="1404" spans="1:9" hidden="1" x14ac:dyDescent="0.3">
      <c r="A1404" t="s">
        <v>1442</v>
      </c>
      <c r="B1404" t="s">
        <v>27</v>
      </c>
      <c r="D1404" t="s">
        <v>28</v>
      </c>
      <c r="F1404" t="s">
        <v>29</v>
      </c>
      <c r="G1404" s="2">
        <v>1898.05</v>
      </c>
      <c r="H1404" t="s">
        <v>11</v>
      </c>
      <c r="I1404">
        <v>3</v>
      </c>
    </row>
    <row r="1405" spans="1:9" hidden="1" x14ac:dyDescent="0.3">
      <c r="A1405" t="s">
        <v>1443</v>
      </c>
      <c r="B1405" t="s">
        <v>8</v>
      </c>
      <c r="D1405" t="s">
        <v>62</v>
      </c>
      <c r="F1405" t="s">
        <v>19</v>
      </c>
      <c r="G1405" s="2">
        <v>8379.1299999999992</v>
      </c>
      <c r="H1405" t="s">
        <v>11</v>
      </c>
      <c r="I1405">
        <v>6</v>
      </c>
    </row>
    <row r="1406" spans="1:9" hidden="1" x14ac:dyDescent="0.3">
      <c r="A1406" t="s">
        <v>1444</v>
      </c>
      <c r="B1406" t="s">
        <v>52</v>
      </c>
      <c r="D1406" t="s">
        <v>56</v>
      </c>
      <c r="F1406" t="s">
        <v>57</v>
      </c>
      <c r="G1406" s="2">
        <v>4289.99</v>
      </c>
      <c r="H1406" t="s">
        <v>20</v>
      </c>
      <c r="I1406">
        <v>20</v>
      </c>
    </row>
    <row r="1407" spans="1:9" hidden="1" x14ac:dyDescent="0.3">
      <c r="A1407" t="s">
        <v>1445</v>
      </c>
      <c r="B1407" t="s">
        <v>31</v>
      </c>
      <c r="D1407" t="s">
        <v>18</v>
      </c>
      <c r="F1407" t="s">
        <v>19</v>
      </c>
      <c r="G1407" s="2">
        <v>8331.0400000000009</v>
      </c>
      <c r="H1407" t="s">
        <v>15</v>
      </c>
      <c r="I1407">
        <v>55</v>
      </c>
    </row>
    <row r="1408" spans="1:9" hidden="1" x14ac:dyDescent="0.3">
      <c r="A1408" t="s">
        <v>1446</v>
      </c>
      <c r="B1408" t="s">
        <v>52</v>
      </c>
      <c r="D1408" t="s">
        <v>18</v>
      </c>
      <c r="F1408" t="s">
        <v>19</v>
      </c>
      <c r="G1408" s="2">
        <v>12858.77</v>
      </c>
      <c r="H1408" t="s">
        <v>47</v>
      </c>
      <c r="I1408">
        <v>52</v>
      </c>
    </row>
    <row r="1409" spans="1:9" hidden="1" x14ac:dyDescent="0.3">
      <c r="A1409" t="s">
        <v>1447</v>
      </c>
      <c r="B1409" t="s">
        <v>8</v>
      </c>
      <c r="D1409" t="s">
        <v>28</v>
      </c>
      <c r="F1409" t="s">
        <v>29</v>
      </c>
      <c r="G1409" s="2">
        <v>2730.49</v>
      </c>
      <c r="H1409" t="s">
        <v>47</v>
      </c>
      <c r="I1409">
        <v>32</v>
      </c>
    </row>
    <row r="1410" spans="1:9" hidden="1" x14ac:dyDescent="0.3">
      <c r="A1410" t="s">
        <v>1448</v>
      </c>
      <c r="B1410" t="s">
        <v>8</v>
      </c>
      <c r="D1410" t="s">
        <v>56</v>
      </c>
      <c r="F1410" t="s">
        <v>57</v>
      </c>
      <c r="G1410" s="2">
        <v>6598.97</v>
      </c>
      <c r="H1410" t="s">
        <v>20</v>
      </c>
      <c r="I1410">
        <v>6</v>
      </c>
    </row>
    <row r="1411" spans="1:9" hidden="1" x14ac:dyDescent="0.3">
      <c r="A1411" t="s">
        <v>1449</v>
      </c>
      <c r="B1411" t="s">
        <v>44</v>
      </c>
      <c r="D1411" t="s">
        <v>24</v>
      </c>
      <c r="F1411" t="s">
        <v>25</v>
      </c>
      <c r="G1411" s="2">
        <v>5952.43</v>
      </c>
      <c r="H1411" t="s">
        <v>20</v>
      </c>
      <c r="I1411">
        <v>7</v>
      </c>
    </row>
    <row r="1412" spans="1:9" hidden="1" x14ac:dyDescent="0.3">
      <c r="A1412" t="s">
        <v>1450</v>
      </c>
      <c r="B1412" t="s">
        <v>8</v>
      </c>
      <c r="D1412" t="s">
        <v>9</v>
      </c>
      <c r="F1412" t="s">
        <v>10</v>
      </c>
      <c r="G1412" s="2">
        <v>5487.46</v>
      </c>
      <c r="H1412" t="s">
        <v>11</v>
      </c>
      <c r="I1412">
        <v>4</v>
      </c>
    </row>
    <row r="1413" spans="1:9" hidden="1" x14ac:dyDescent="0.3">
      <c r="A1413" t="s">
        <v>1451</v>
      </c>
      <c r="B1413" t="s">
        <v>54</v>
      </c>
      <c r="D1413" t="s">
        <v>18</v>
      </c>
      <c r="F1413" t="s">
        <v>19</v>
      </c>
      <c r="G1413" s="2">
        <v>12579.73</v>
      </c>
      <c r="H1413" t="s">
        <v>35</v>
      </c>
      <c r="I1413">
        <v>18</v>
      </c>
    </row>
    <row r="1414" spans="1:9" hidden="1" x14ac:dyDescent="0.3">
      <c r="A1414" t="s">
        <v>1452</v>
      </c>
      <c r="B1414" t="s">
        <v>31</v>
      </c>
      <c r="D1414" t="s">
        <v>32</v>
      </c>
      <c r="F1414" t="s">
        <v>33</v>
      </c>
      <c r="G1414" s="2">
        <v>4130.9399999999996</v>
      </c>
      <c r="H1414" t="s">
        <v>35</v>
      </c>
      <c r="I1414">
        <v>42</v>
      </c>
    </row>
    <row r="1415" spans="1:9" hidden="1" x14ac:dyDescent="0.3">
      <c r="A1415" t="s">
        <v>1453</v>
      </c>
      <c r="B1415" t="s">
        <v>52</v>
      </c>
      <c r="D1415" t="s">
        <v>28</v>
      </c>
      <c r="F1415" t="s">
        <v>29</v>
      </c>
      <c r="G1415" s="2">
        <v>7163.6</v>
      </c>
      <c r="H1415" t="s">
        <v>20</v>
      </c>
      <c r="I1415">
        <v>26</v>
      </c>
    </row>
    <row r="1416" spans="1:9" hidden="1" x14ac:dyDescent="0.3">
      <c r="A1416" t="s">
        <v>1454</v>
      </c>
      <c r="B1416" t="s">
        <v>8</v>
      </c>
      <c r="D1416" t="s">
        <v>13</v>
      </c>
      <c r="F1416" t="s">
        <v>14</v>
      </c>
      <c r="G1416" s="2">
        <v>4219.41</v>
      </c>
      <c r="H1416" t="s">
        <v>35</v>
      </c>
      <c r="I1416">
        <v>7</v>
      </c>
    </row>
    <row r="1417" spans="1:9" hidden="1" x14ac:dyDescent="0.3">
      <c r="A1417" t="s">
        <v>1455</v>
      </c>
      <c r="B1417" t="s">
        <v>8</v>
      </c>
      <c r="D1417" t="s">
        <v>62</v>
      </c>
      <c r="F1417" t="s">
        <v>19</v>
      </c>
      <c r="G1417" s="2">
        <v>7365.65</v>
      </c>
      <c r="H1417" t="s">
        <v>11</v>
      </c>
      <c r="I1417">
        <v>0</v>
      </c>
    </row>
    <row r="1418" spans="1:9" hidden="1" x14ac:dyDescent="0.3">
      <c r="A1418" t="s">
        <v>1456</v>
      </c>
      <c r="B1418" t="s">
        <v>44</v>
      </c>
      <c r="D1418" t="s">
        <v>99</v>
      </c>
      <c r="F1418" t="s">
        <v>29</v>
      </c>
      <c r="G1418" s="2">
        <v>12463.17</v>
      </c>
      <c r="H1418" t="s">
        <v>15</v>
      </c>
      <c r="I1418">
        <v>2</v>
      </c>
    </row>
    <row r="1419" spans="1:9" hidden="1" x14ac:dyDescent="0.3">
      <c r="A1419" t="s">
        <v>1457</v>
      </c>
      <c r="B1419" t="s">
        <v>54</v>
      </c>
      <c r="D1419" t="s">
        <v>56</v>
      </c>
      <c r="F1419" t="s">
        <v>57</v>
      </c>
      <c r="G1419" s="2">
        <v>9088.5300000000007</v>
      </c>
      <c r="H1419" t="s">
        <v>15</v>
      </c>
      <c r="I1419">
        <v>20</v>
      </c>
    </row>
    <row r="1420" spans="1:9" hidden="1" x14ac:dyDescent="0.3">
      <c r="A1420" t="s">
        <v>1458</v>
      </c>
      <c r="B1420" t="s">
        <v>52</v>
      </c>
      <c r="D1420" t="s">
        <v>32</v>
      </c>
      <c r="F1420" t="s">
        <v>33</v>
      </c>
      <c r="G1420" s="2">
        <v>1490.19</v>
      </c>
      <c r="H1420" t="s">
        <v>11</v>
      </c>
      <c r="I1420">
        <v>13</v>
      </c>
    </row>
    <row r="1421" spans="1:9" hidden="1" x14ac:dyDescent="0.3">
      <c r="A1421" t="s">
        <v>1459</v>
      </c>
      <c r="B1421" t="s">
        <v>37</v>
      </c>
      <c r="D1421" t="s">
        <v>18</v>
      </c>
      <c r="F1421" t="s">
        <v>19</v>
      </c>
      <c r="G1421" s="2">
        <v>4438.7700000000004</v>
      </c>
      <c r="H1421" t="s">
        <v>15</v>
      </c>
      <c r="I1421">
        <v>33</v>
      </c>
    </row>
    <row r="1422" spans="1:9" hidden="1" x14ac:dyDescent="0.3">
      <c r="A1422" t="s">
        <v>1460</v>
      </c>
      <c r="B1422" t="s">
        <v>22</v>
      </c>
      <c r="D1422" t="s">
        <v>13</v>
      </c>
      <c r="F1422" t="s">
        <v>14</v>
      </c>
      <c r="G1422" s="2">
        <v>5187.05</v>
      </c>
      <c r="H1422" t="s">
        <v>35</v>
      </c>
      <c r="I1422">
        <v>35</v>
      </c>
    </row>
    <row r="1423" spans="1:9" hidden="1" x14ac:dyDescent="0.3">
      <c r="A1423" t="s">
        <v>1461</v>
      </c>
      <c r="B1423" t="s">
        <v>31</v>
      </c>
      <c r="D1423" t="s">
        <v>99</v>
      </c>
      <c r="F1423" t="s">
        <v>29</v>
      </c>
      <c r="G1423" s="2">
        <v>14861.14</v>
      </c>
      <c r="H1423" t="s">
        <v>47</v>
      </c>
      <c r="I1423">
        <v>8</v>
      </c>
    </row>
    <row r="1424" spans="1:9" x14ac:dyDescent="0.3">
      <c r="A1424" t="s">
        <v>1462</v>
      </c>
      <c r="B1424" t="s">
        <v>22</v>
      </c>
      <c r="D1424" t="s">
        <v>40</v>
      </c>
      <c r="F1424" t="s">
        <v>41</v>
      </c>
      <c r="G1424" s="2">
        <v>4752.66</v>
      </c>
      <c r="H1424" t="s">
        <v>15</v>
      </c>
      <c r="I1424">
        <v>30</v>
      </c>
    </row>
    <row r="1425" spans="1:9" hidden="1" x14ac:dyDescent="0.3">
      <c r="A1425" t="s">
        <v>1463</v>
      </c>
      <c r="B1425" t="s">
        <v>37</v>
      </c>
      <c r="D1425" t="s">
        <v>99</v>
      </c>
      <c r="F1425" t="s">
        <v>29</v>
      </c>
      <c r="G1425" s="2">
        <v>2694.19</v>
      </c>
      <c r="H1425" t="s">
        <v>20</v>
      </c>
      <c r="I1425">
        <v>50</v>
      </c>
    </row>
    <row r="1426" spans="1:9" hidden="1" x14ac:dyDescent="0.3">
      <c r="A1426" t="s">
        <v>1464</v>
      </c>
      <c r="B1426" t="s">
        <v>52</v>
      </c>
      <c r="D1426" t="s">
        <v>24</v>
      </c>
      <c r="F1426" t="s">
        <v>25</v>
      </c>
      <c r="G1426" s="2">
        <v>7397.62</v>
      </c>
      <c r="H1426" t="s">
        <v>11</v>
      </c>
      <c r="I1426">
        <v>12</v>
      </c>
    </row>
    <row r="1427" spans="1:9" hidden="1" x14ac:dyDescent="0.3">
      <c r="A1427" t="s">
        <v>1465</v>
      </c>
      <c r="B1427" t="s">
        <v>46</v>
      </c>
      <c r="D1427" t="s">
        <v>9</v>
      </c>
      <c r="F1427" t="s">
        <v>10</v>
      </c>
      <c r="G1427" s="2">
        <v>8554.39</v>
      </c>
      <c r="H1427" t="s">
        <v>15</v>
      </c>
      <c r="I1427">
        <v>36</v>
      </c>
    </row>
    <row r="1428" spans="1:9" hidden="1" x14ac:dyDescent="0.3">
      <c r="A1428" t="s">
        <v>1466</v>
      </c>
      <c r="B1428" t="s">
        <v>46</v>
      </c>
      <c r="D1428" t="s">
        <v>32</v>
      </c>
      <c r="F1428" t="s">
        <v>33</v>
      </c>
      <c r="G1428" s="2">
        <v>7073.78</v>
      </c>
      <c r="H1428" t="s">
        <v>20</v>
      </c>
      <c r="I1428">
        <v>11</v>
      </c>
    </row>
    <row r="1429" spans="1:9" hidden="1" x14ac:dyDescent="0.3">
      <c r="A1429" t="s">
        <v>1467</v>
      </c>
      <c r="B1429" t="s">
        <v>54</v>
      </c>
      <c r="D1429" t="s">
        <v>99</v>
      </c>
      <c r="F1429" t="s">
        <v>29</v>
      </c>
      <c r="G1429" s="2">
        <v>5901.2</v>
      </c>
      <c r="H1429" t="s">
        <v>15</v>
      </c>
      <c r="I1429">
        <v>25</v>
      </c>
    </row>
    <row r="1430" spans="1:9" hidden="1" x14ac:dyDescent="0.3">
      <c r="A1430" t="s">
        <v>1468</v>
      </c>
      <c r="B1430" t="s">
        <v>22</v>
      </c>
      <c r="D1430" t="s">
        <v>28</v>
      </c>
      <c r="F1430" t="s">
        <v>29</v>
      </c>
      <c r="G1430" s="2">
        <v>11508.74</v>
      </c>
      <c r="H1430" t="s">
        <v>15</v>
      </c>
      <c r="I1430">
        <v>4</v>
      </c>
    </row>
    <row r="1431" spans="1:9" hidden="1" x14ac:dyDescent="0.3">
      <c r="A1431" t="s">
        <v>1469</v>
      </c>
      <c r="B1431" t="s">
        <v>54</v>
      </c>
      <c r="D1431" t="s">
        <v>32</v>
      </c>
      <c r="F1431" t="s">
        <v>33</v>
      </c>
      <c r="G1431" s="2">
        <v>724.52</v>
      </c>
      <c r="H1431" t="s">
        <v>35</v>
      </c>
      <c r="I1431">
        <v>23</v>
      </c>
    </row>
    <row r="1432" spans="1:9" hidden="1" x14ac:dyDescent="0.3">
      <c r="A1432" t="s">
        <v>1470</v>
      </c>
      <c r="B1432" t="s">
        <v>8</v>
      </c>
      <c r="D1432" t="s">
        <v>99</v>
      </c>
      <c r="F1432" t="s">
        <v>29</v>
      </c>
      <c r="G1432" s="2">
        <v>11489.65</v>
      </c>
      <c r="H1432" t="s">
        <v>20</v>
      </c>
      <c r="I1432">
        <v>25</v>
      </c>
    </row>
    <row r="1433" spans="1:9" hidden="1" x14ac:dyDescent="0.3">
      <c r="A1433" t="s">
        <v>1471</v>
      </c>
      <c r="B1433" t="s">
        <v>22</v>
      </c>
      <c r="D1433" t="s">
        <v>56</v>
      </c>
      <c r="F1433" t="s">
        <v>57</v>
      </c>
      <c r="G1433" s="2">
        <v>5209.8900000000003</v>
      </c>
      <c r="H1433" t="s">
        <v>15</v>
      </c>
      <c r="I1433">
        <v>23</v>
      </c>
    </row>
    <row r="1434" spans="1:9" hidden="1" x14ac:dyDescent="0.3">
      <c r="A1434" t="s">
        <v>1472</v>
      </c>
      <c r="B1434" t="s">
        <v>8</v>
      </c>
      <c r="D1434" t="s">
        <v>18</v>
      </c>
      <c r="F1434" t="s">
        <v>19</v>
      </c>
      <c r="G1434" s="2">
        <v>3751.83</v>
      </c>
      <c r="H1434" t="s">
        <v>20</v>
      </c>
      <c r="I1434">
        <v>38</v>
      </c>
    </row>
    <row r="1435" spans="1:9" hidden="1" x14ac:dyDescent="0.3">
      <c r="A1435" t="s">
        <v>1473</v>
      </c>
      <c r="B1435" t="s">
        <v>46</v>
      </c>
      <c r="D1435" t="s">
        <v>9</v>
      </c>
      <c r="F1435" t="s">
        <v>10</v>
      </c>
      <c r="G1435" s="2">
        <v>13040.65</v>
      </c>
      <c r="H1435" t="s">
        <v>11</v>
      </c>
      <c r="I1435">
        <v>0</v>
      </c>
    </row>
    <row r="1436" spans="1:9" hidden="1" x14ac:dyDescent="0.3">
      <c r="A1436" t="s">
        <v>1474</v>
      </c>
      <c r="B1436" t="s">
        <v>54</v>
      </c>
      <c r="D1436" t="s">
        <v>28</v>
      </c>
      <c r="F1436" t="s">
        <v>29</v>
      </c>
      <c r="G1436" s="2">
        <v>608.79999999999995</v>
      </c>
      <c r="H1436" t="s">
        <v>20</v>
      </c>
      <c r="I1436">
        <v>28</v>
      </c>
    </row>
    <row r="1437" spans="1:9" hidden="1" x14ac:dyDescent="0.3">
      <c r="A1437" t="s">
        <v>1475</v>
      </c>
      <c r="B1437" t="s">
        <v>54</v>
      </c>
      <c r="D1437" t="s">
        <v>13</v>
      </c>
      <c r="F1437" t="s">
        <v>14</v>
      </c>
      <c r="G1437" s="2">
        <v>13526.08</v>
      </c>
      <c r="H1437" t="s">
        <v>11</v>
      </c>
      <c r="I1437">
        <v>12</v>
      </c>
    </row>
    <row r="1438" spans="1:9" hidden="1" x14ac:dyDescent="0.3">
      <c r="A1438" t="s">
        <v>1476</v>
      </c>
      <c r="B1438" t="s">
        <v>27</v>
      </c>
      <c r="D1438" t="s">
        <v>99</v>
      </c>
      <c r="F1438" t="s">
        <v>29</v>
      </c>
      <c r="G1438" s="2">
        <v>14787.18</v>
      </c>
      <c r="H1438" t="s">
        <v>15</v>
      </c>
      <c r="I1438">
        <v>25</v>
      </c>
    </row>
    <row r="1439" spans="1:9" hidden="1" x14ac:dyDescent="0.3">
      <c r="A1439" t="s">
        <v>1477</v>
      </c>
      <c r="B1439" t="s">
        <v>17</v>
      </c>
      <c r="D1439" t="s">
        <v>32</v>
      </c>
      <c r="F1439" t="s">
        <v>33</v>
      </c>
      <c r="G1439" s="2">
        <v>1511</v>
      </c>
      <c r="H1439" t="s">
        <v>15</v>
      </c>
      <c r="I1439">
        <v>45</v>
      </c>
    </row>
    <row r="1440" spans="1:9" hidden="1" x14ac:dyDescent="0.3">
      <c r="A1440" t="s">
        <v>1478</v>
      </c>
      <c r="B1440" t="s">
        <v>27</v>
      </c>
      <c r="D1440" t="s">
        <v>28</v>
      </c>
      <c r="F1440" t="s">
        <v>29</v>
      </c>
      <c r="G1440" s="2">
        <v>7476.13</v>
      </c>
      <c r="H1440" t="s">
        <v>35</v>
      </c>
      <c r="I1440">
        <v>43</v>
      </c>
    </row>
    <row r="1441" spans="1:9" hidden="1" x14ac:dyDescent="0.3">
      <c r="A1441" t="s">
        <v>1479</v>
      </c>
      <c r="B1441" t="s">
        <v>17</v>
      </c>
      <c r="D1441" t="s">
        <v>24</v>
      </c>
      <c r="F1441" t="s">
        <v>25</v>
      </c>
      <c r="G1441" s="2">
        <v>9241.68</v>
      </c>
      <c r="H1441" t="s">
        <v>15</v>
      </c>
      <c r="I1441">
        <v>28</v>
      </c>
    </row>
    <row r="1442" spans="1:9" x14ac:dyDescent="0.3">
      <c r="A1442" t="s">
        <v>1480</v>
      </c>
      <c r="B1442" t="s">
        <v>46</v>
      </c>
      <c r="D1442" t="s">
        <v>40</v>
      </c>
      <c r="F1442" t="s">
        <v>41</v>
      </c>
      <c r="G1442" s="2">
        <v>9549.89</v>
      </c>
      <c r="H1442" t="s">
        <v>47</v>
      </c>
      <c r="I1442">
        <v>5</v>
      </c>
    </row>
    <row r="1443" spans="1:9" hidden="1" x14ac:dyDescent="0.3">
      <c r="A1443" t="s">
        <v>1481</v>
      </c>
      <c r="B1443" t="s">
        <v>17</v>
      </c>
      <c r="D1443" t="s">
        <v>18</v>
      </c>
      <c r="F1443" t="s">
        <v>19</v>
      </c>
      <c r="G1443" s="2">
        <v>4345.97</v>
      </c>
      <c r="H1443" t="s">
        <v>11</v>
      </c>
      <c r="I1443">
        <v>10</v>
      </c>
    </row>
    <row r="1444" spans="1:9" hidden="1" x14ac:dyDescent="0.3">
      <c r="A1444" t="s">
        <v>1482</v>
      </c>
      <c r="B1444" t="s">
        <v>54</v>
      </c>
      <c r="D1444" t="s">
        <v>32</v>
      </c>
      <c r="F1444" t="s">
        <v>33</v>
      </c>
      <c r="G1444" s="2">
        <v>11156.18</v>
      </c>
      <c r="H1444" t="s">
        <v>11</v>
      </c>
      <c r="I1444">
        <v>0</v>
      </c>
    </row>
    <row r="1445" spans="1:9" hidden="1" x14ac:dyDescent="0.3">
      <c r="A1445" t="s">
        <v>1483</v>
      </c>
      <c r="B1445" t="s">
        <v>52</v>
      </c>
      <c r="D1445" t="s">
        <v>28</v>
      </c>
      <c r="F1445" t="s">
        <v>29</v>
      </c>
      <c r="G1445" s="2">
        <v>4136.8100000000004</v>
      </c>
      <c r="H1445" t="s">
        <v>20</v>
      </c>
      <c r="I1445">
        <v>34</v>
      </c>
    </row>
    <row r="1446" spans="1:9" hidden="1" x14ac:dyDescent="0.3">
      <c r="A1446" t="s">
        <v>1484</v>
      </c>
      <c r="B1446" t="s">
        <v>37</v>
      </c>
      <c r="D1446" t="s">
        <v>56</v>
      </c>
      <c r="F1446" t="s">
        <v>57</v>
      </c>
      <c r="G1446" s="2">
        <v>3185.6</v>
      </c>
      <c r="H1446" t="s">
        <v>35</v>
      </c>
      <c r="I1446">
        <v>42</v>
      </c>
    </row>
    <row r="1447" spans="1:9" hidden="1" x14ac:dyDescent="0.3">
      <c r="A1447" t="s">
        <v>1485</v>
      </c>
      <c r="B1447" t="s">
        <v>27</v>
      </c>
      <c r="D1447" t="s">
        <v>13</v>
      </c>
      <c r="F1447" t="s">
        <v>14</v>
      </c>
      <c r="G1447" s="2">
        <v>12071.69</v>
      </c>
      <c r="H1447" t="s">
        <v>15</v>
      </c>
      <c r="I1447">
        <v>35</v>
      </c>
    </row>
    <row r="1448" spans="1:9" hidden="1" x14ac:dyDescent="0.3">
      <c r="A1448" t="s">
        <v>1486</v>
      </c>
      <c r="B1448" t="s">
        <v>46</v>
      </c>
      <c r="D1448" t="s">
        <v>18</v>
      </c>
      <c r="F1448" t="s">
        <v>19</v>
      </c>
      <c r="G1448" s="2">
        <v>6244</v>
      </c>
      <c r="H1448" t="s">
        <v>11</v>
      </c>
      <c r="I1448">
        <v>9</v>
      </c>
    </row>
    <row r="1449" spans="1:9" hidden="1" x14ac:dyDescent="0.3">
      <c r="A1449" t="s">
        <v>1487</v>
      </c>
      <c r="B1449" t="s">
        <v>44</v>
      </c>
      <c r="D1449" t="s">
        <v>24</v>
      </c>
      <c r="F1449" t="s">
        <v>25</v>
      </c>
      <c r="G1449" s="2">
        <v>13219.4</v>
      </c>
      <c r="H1449" t="s">
        <v>20</v>
      </c>
      <c r="I1449">
        <v>34</v>
      </c>
    </row>
    <row r="1450" spans="1:9" hidden="1" x14ac:dyDescent="0.3">
      <c r="A1450" t="s">
        <v>1488</v>
      </c>
      <c r="B1450" t="s">
        <v>52</v>
      </c>
      <c r="D1450" t="s">
        <v>32</v>
      </c>
      <c r="F1450" t="s">
        <v>33</v>
      </c>
      <c r="G1450" s="2">
        <v>7513.09</v>
      </c>
      <c r="H1450" t="s">
        <v>20</v>
      </c>
      <c r="I1450">
        <v>53</v>
      </c>
    </row>
    <row r="1451" spans="1:9" hidden="1" x14ac:dyDescent="0.3">
      <c r="A1451" t="s">
        <v>1489</v>
      </c>
      <c r="B1451" t="s">
        <v>31</v>
      </c>
      <c r="D1451" t="s">
        <v>62</v>
      </c>
      <c r="F1451" t="s">
        <v>19</v>
      </c>
      <c r="G1451" s="2">
        <v>14060.59</v>
      </c>
      <c r="H1451" t="s">
        <v>15</v>
      </c>
      <c r="I1451">
        <v>40</v>
      </c>
    </row>
    <row r="1452" spans="1:9" hidden="1" x14ac:dyDescent="0.3">
      <c r="A1452" t="s">
        <v>1490</v>
      </c>
      <c r="B1452" t="s">
        <v>52</v>
      </c>
      <c r="D1452" t="s">
        <v>32</v>
      </c>
      <c r="F1452" t="s">
        <v>33</v>
      </c>
      <c r="G1452" s="2">
        <v>10912.9</v>
      </c>
      <c r="H1452" t="s">
        <v>11</v>
      </c>
      <c r="I1452">
        <v>0</v>
      </c>
    </row>
    <row r="1453" spans="1:9" hidden="1" x14ac:dyDescent="0.3">
      <c r="A1453" t="s">
        <v>1491</v>
      </c>
      <c r="B1453" t="s">
        <v>37</v>
      </c>
      <c r="D1453" t="s">
        <v>24</v>
      </c>
      <c r="F1453" t="s">
        <v>25</v>
      </c>
      <c r="G1453" s="2">
        <v>3643.59</v>
      </c>
      <c r="H1453" t="s">
        <v>35</v>
      </c>
      <c r="I1453">
        <v>49</v>
      </c>
    </row>
    <row r="1454" spans="1:9" hidden="1" x14ac:dyDescent="0.3">
      <c r="A1454" t="s">
        <v>1492</v>
      </c>
      <c r="B1454" t="s">
        <v>8</v>
      </c>
      <c r="D1454" t="s">
        <v>56</v>
      </c>
      <c r="F1454" t="s">
        <v>57</v>
      </c>
      <c r="G1454" s="2">
        <v>6183.39</v>
      </c>
      <c r="H1454" t="s">
        <v>35</v>
      </c>
      <c r="I1454">
        <v>59</v>
      </c>
    </row>
    <row r="1455" spans="1:9" hidden="1" x14ac:dyDescent="0.3">
      <c r="A1455" t="s">
        <v>1493</v>
      </c>
      <c r="B1455" t="s">
        <v>37</v>
      </c>
      <c r="D1455" t="s">
        <v>18</v>
      </c>
      <c r="F1455" t="s">
        <v>19</v>
      </c>
      <c r="G1455" s="2">
        <v>12697.21</v>
      </c>
      <c r="H1455" t="s">
        <v>11</v>
      </c>
      <c r="I1455">
        <v>0</v>
      </c>
    </row>
    <row r="1456" spans="1:9" hidden="1" x14ac:dyDescent="0.3">
      <c r="A1456" t="s">
        <v>1494</v>
      </c>
      <c r="B1456" t="s">
        <v>22</v>
      </c>
      <c r="D1456" t="s">
        <v>32</v>
      </c>
      <c r="F1456" t="s">
        <v>33</v>
      </c>
      <c r="G1456" s="2">
        <v>3580.14</v>
      </c>
      <c r="H1456" t="s">
        <v>11</v>
      </c>
      <c r="I1456">
        <v>0</v>
      </c>
    </row>
    <row r="1457" spans="1:9" hidden="1" x14ac:dyDescent="0.3">
      <c r="A1457" t="s">
        <v>1495</v>
      </c>
      <c r="B1457" t="s">
        <v>46</v>
      </c>
      <c r="D1457" t="s">
        <v>18</v>
      </c>
      <c r="F1457" t="s">
        <v>19</v>
      </c>
      <c r="G1457" s="2">
        <v>11965.82</v>
      </c>
      <c r="H1457" t="s">
        <v>15</v>
      </c>
      <c r="I1457">
        <v>32</v>
      </c>
    </row>
    <row r="1458" spans="1:9" hidden="1" x14ac:dyDescent="0.3">
      <c r="A1458" t="s">
        <v>1496</v>
      </c>
      <c r="B1458" t="s">
        <v>44</v>
      </c>
      <c r="D1458" t="s">
        <v>56</v>
      </c>
      <c r="F1458" t="s">
        <v>57</v>
      </c>
      <c r="G1458" s="2">
        <v>6359.19</v>
      </c>
      <c r="H1458" t="s">
        <v>47</v>
      </c>
      <c r="I1458">
        <v>13</v>
      </c>
    </row>
    <row r="1459" spans="1:9" hidden="1" x14ac:dyDescent="0.3">
      <c r="A1459" t="s">
        <v>1497</v>
      </c>
      <c r="B1459" t="s">
        <v>46</v>
      </c>
      <c r="D1459" t="s">
        <v>62</v>
      </c>
      <c r="F1459" t="s">
        <v>19</v>
      </c>
      <c r="G1459" s="2">
        <v>2089.64</v>
      </c>
      <c r="H1459" t="s">
        <v>11</v>
      </c>
      <c r="I1459">
        <v>0</v>
      </c>
    </row>
    <row r="1460" spans="1:9" hidden="1" x14ac:dyDescent="0.3">
      <c r="A1460" t="s">
        <v>1498</v>
      </c>
      <c r="B1460" t="s">
        <v>22</v>
      </c>
      <c r="D1460" t="s">
        <v>24</v>
      </c>
      <c r="F1460" t="s">
        <v>25</v>
      </c>
      <c r="G1460" s="2">
        <v>9682.19</v>
      </c>
      <c r="H1460" t="s">
        <v>11</v>
      </c>
      <c r="I1460">
        <v>12</v>
      </c>
    </row>
    <row r="1461" spans="1:9" hidden="1" x14ac:dyDescent="0.3">
      <c r="A1461" t="s">
        <v>1499</v>
      </c>
      <c r="B1461" t="s">
        <v>8</v>
      </c>
      <c r="D1461" t="s">
        <v>99</v>
      </c>
      <c r="F1461" t="s">
        <v>29</v>
      </c>
      <c r="G1461" s="2">
        <v>12900.78</v>
      </c>
      <c r="H1461" t="s">
        <v>11</v>
      </c>
      <c r="I1461">
        <v>0</v>
      </c>
    </row>
    <row r="1462" spans="1:9" hidden="1" x14ac:dyDescent="0.3">
      <c r="A1462" t="s">
        <v>1500</v>
      </c>
      <c r="B1462" t="s">
        <v>8</v>
      </c>
      <c r="D1462" t="s">
        <v>56</v>
      </c>
      <c r="F1462" t="s">
        <v>57</v>
      </c>
      <c r="G1462" s="2">
        <v>13456.76</v>
      </c>
      <c r="H1462" t="s">
        <v>20</v>
      </c>
      <c r="I1462">
        <v>57</v>
      </c>
    </row>
    <row r="1463" spans="1:9" hidden="1" x14ac:dyDescent="0.3">
      <c r="A1463" t="s">
        <v>1501</v>
      </c>
      <c r="B1463" t="s">
        <v>17</v>
      </c>
      <c r="D1463" t="s">
        <v>56</v>
      </c>
      <c r="F1463" t="s">
        <v>57</v>
      </c>
      <c r="G1463" s="2">
        <v>14150.27</v>
      </c>
      <c r="H1463" t="s">
        <v>35</v>
      </c>
      <c r="I1463">
        <v>9</v>
      </c>
    </row>
    <row r="1464" spans="1:9" hidden="1" x14ac:dyDescent="0.3">
      <c r="A1464" t="s">
        <v>1502</v>
      </c>
      <c r="B1464" t="s">
        <v>46</v>
      </c>
      <c r="D1464" t="s">
        <v>9</v>
      </c>
      <c r="F1464" t="s">
        <v>10</v>
      </c>
      <c r="G1464" s="2">
        <v>8586.0499999999993</v>
      </c>
      <c r="H1464" t="s">
        <v>15</v>
      </c>
      <c r="I1464">
        <v>8</v>
      </c>
    </row>
    <row r="1465" spans="1:9" hidden="1" x14ac:dyDescent="0.3">
      <c r="A1465" t="s">
        <v>1503</v>
      </c>
      <c r="B1465" t="s">
        <v>52</v>
      </c>
      <c r="D1465" t="s">
        <v>32</v>
      </c>
      <c r="F1465" t="s">
        <v>33</v>
      </c>
      <c r="G1465" s="2">
        <v>14247.63</v>
      </c>
      <c r="H1465" t="s">
        <v>47</v>
      </c>
      <c r="I1465">
        <v>17</v>
      </c>
    </row>
    <row r="1466" spans="1:9" hidden="1" x14ac:dyDescent="0.3">
      <c r="A1466" t="s">
        <v>1504</v>
      </c>
      <c r="B1466" t="s">
        <v>27</v>
      </c>
      <c r="D1466" t="s">
        <v>9</v>
      </c>
      <c r="F1466" t="s">
        <v>10</v>
      </c>
      <c r="G1466" s="2">
        <v>3609.25</v>
      </c>
      <c r="H1466" t="s">
        <v>11</v>
      </c>
      <c r="I1466">
        <v>0</v>
      </c>
    </row>
    <row r="1467" spans="1:9" hidden="1" x14ac:dyDescent="0.3">
      <c r="A1467" t="s">
        <v>1505</v>
      </c>
      <c r="B1467" t="s">
        <v>17</v>
      </c>
      <c r="D1467" t="s">
        <v>32</v>
      </c>
      <c r="F1467" t="s">
        <v>33</v>
      </c>
      <c r="G1467" s="2">
        <v>11071.68</v>
      </c>
      <c r="H1467" t="s">
        <v>35</v>
      </c>
      <c r="I1467">
        <v>48</v>
      </c>
    </row>
    <row r="1468" spans="1:9" hidden="1" x14ac:dyDescent="0.3">
      <c r="A1468" t="s">
        <v>1506</v>
      </c>
      <c r="B1468" t="s">
        <v>52</v>
      </c>
      <c r="D1468" t="s">
        <v>56</v>
      </c>
      <c r="F1468" t="s">
        <v>57</v>
      </c>
      <c r="G1468" s="2">
        <v>3309.23</v>
      </c>
      <c r="H1468" t="s">
        <v>11</v>
      </c>
      <c r="I1468">
        <v>0</v>
      </c>
    </row>
    <row r="1469" spans="1:9" hidden="1" x14ac:dyDescent="0.3">
      <c r="A1469" t="s">
        <v>1507</v>
      </c>
      <c r="B1469" t="s">
        <v>46</v>
      </c>
      <c r="D1469" t="s">
        <v>56</v>
      </c>
      <c r="F1469" t="s">
        <v>57</v>
      </c>
      <c r="G1469" s="2">
        <v>3851.87</v>
      </c>
      <c r="H1469" t="s">
        <v>20</v>
      </c>
      <c r="I1469">
        <v>32</v>
      </c>
    </row>
    <row r="1470" spans="1:9" hidden="1" x14ac:dyDescent="0.3">
      <c r="A1470" t="s">
        <v>1508</v>
      </c>
      <c r="B1470" t="s">
        <v>52</v>
      </c>
      <c r="D1470" t="s">
        <v>28</v>
      </c>
      <c r="F1470" t="s">
        <v>29</v>
      </c>
      <c r="G1470" s="2">
        <v>10509.29</v>
      </c>
      <c r="H1470" t="s">
        <v>11</v>
      </c>
      <c r="I1470">
        <v>9</v>
      </c>
    </row>
    <row r="1471" spans="1:9" hidden="1" x14ac:dyDescent="0.3">
      <c r="A1471" t="s">
        <v>1509</v>
      </c>
      <c r="B1471" t="s">
        <v>44</v>
      </c>
      <c r="D1471" t="s">
        <v>18</v>
      </c>
      <c r="F1471" t="s">
        <v>19</v>
      </c>
      <c r="G1471" s="2">
        <v>14451.56</v>
      </c>
      <c r="H1471" t="s">
        <v>35</v>
      </c>
      <c r="I1471">
        <v>60</v>
      </c>
    </row>
    <row r="1472" spans="1:9" hidden="1" x14ac:dyDescent="0.3">
      <c r="A1472" t="s">
        <v>1510</v>
      </c>
      <c r="B1472" t="s">
        <v>22</v>
      </c>
      <c r="D1472" t="s">
        <v>28</v>
      </c>
      <c r="F1472" t="s">
        <v>29</v>
      </c>
      <c r="G1472" s="2">
        <v>7154.57</v>
      </c>
      <c r="H1472" t="s">
        <v>15</v>
      </c>
      <c r="I1472">
        <v>20</v>
      </c>
    </row>
    <row r="1473" spans="1:9" hidden="1" x14ac:dyDescent="0.3">
      <c r="A1473" t="s">
        <v>1511</v>
      </c>
      <c r="B1473" t="s">
        <v>22</v>
      </c>
      <c r="D1473" t="s">
        <v>32</v>
      </c>
      <c r="F1473" t="s">
        <v>33</v>
      </c>
      <c r="G1473" s="2">
        <v>570.4</v>
      </c>
      <c r="H1473" t="s">
        <v>35</v>
      </c>
      <c r="I1473">
        <v>52</v>
      </c>
    </row>
    <row r="1474" spans="1:9" hidden="1" x14ac:dyDescent="0.3">
      <c r="A1474" t="s">
        <v>1512</v>
      </c>
      <c r="B1474" t="s">
        <v>27</v>
      </c>
      <c r="D1474" t="s">
        <v>18</v>
      </c>
      <c r="F1474" t="s">
        <v>19</v>
      </c>
      <c r="G1474" s="2">
        <v>3832.09</v>
      </c>
      <c r="H1474" t="s">
        <v>15</v>
      </c>
      <c r="I1474">
        <v>41</v>
      </c>
    </row>
    <row r="1475" spans="1:9" hidden="1" x14ac:dyDescent="0.3">
      <c r="A1475" t="s">
        <v>1513</v>
      </c>
      <c r="B1475" t="s">
        <v>22</v>
      </c>
      <c r="D1475" t="s">
        <v>9</v>
      </c>
      <c r="F1475" t="s">
        <v>10</v>
      </c>
      <c r="G1475" s="2">
        <v>8046.91</v>
      </c>
      <c r="H1475" t="s">
        <v>11</v>
      </c>
      <c r="I1475">
        <v>8</v>
      </c>
    </row>
    <row r="1476" spans="1:9" hidden="1" x14ac:dyDescent="0.3">
      <c r="A1476" t="s">
        <v>1514</v>
      </c>
      <c r="B1476" t="s">
        <v>8</v>
      </c>
      <c r="D1476" t="s">
        <v>56</v>
      </c>
      <c r="F1476" t="s">
        <v>57</v>
      </c>
      <c r="G1476" s="2">
        <v>13916.24</v>
      </c>
      <c r="H1476" t="s">
        <v>47</v>
      </c>
      <c r="I1476">
        <v>20</v>
      </c>
    </row>
    <row r="1477" spans="1:9" hidden="1" x14ac:dyDescent="0.3">
      <c r="A1477" t="s">
        <v>1515</v>
      </c>
      <c r="B1477" t="s">
        <v>52</v>
      </c>
      <c r="D1477" t="s">
        <v>18</v>
      </c>
      <c r="F1477" t="s">
        <v>19</v>
      </c>
      <c r="G1477" s="2">
        <v>4496.47</v>
      </c>
      <c r="H1477" t="s">
        <v>35</v>
      </c>
      <c r="I1477">
        <v>11</v>
      </c>
    </row>
    <row r="1478" spans="1:9" hidden="1" x14ac:dyDescent="0.3">
      <c r="A1478" t="s">
        <v>1516</v>
      </c>
      <c r="B1478" t="s">
        <v>22</v>
      </c>
      <c r="D1478" t="s">
        <v>28</v>
      </c>
      <c r="F1478" t="s">
        <v>29</v>
      </c>
      <c r="G1478" s="2">
        <v>13198.04</v>
      </c>
      <c r="H1478" t="s">
        <v>35</v>
      </c>
      <c r="I1478">
        <v>27</v>
      </c>
    </row>
    <row r="1479" spans="1:9" hidden="1" x14ac:dyDescent="0.3">
      <c r="A1479" t="s">
        <v>1517</v>
      </c>
      <c r="B1479" t="s">
        <v>52</v>
      </c>
      <c r="D1479" t="s">
        <v>62</v>
      </c>
      <c r="F1479" t="s">
        <v>19</v>
      </c>
      <c r="G1479" s="2">
        <v>13003.35</v>
      </c>
      <c r="H1479" t="s">
        <v>35</v>
      </c>
      <c r="I1479">
        <v>32</v>
      </c>
    </row>
    <row r="1480" spans="1:9" hidden="1" x14ac:dyDescent="0.3">
      <c r="A1480" t="s">
        <v>1518</v>
      </c>
      <c r="B1480" t="s">
        <v>8</v>
      </c>
      <c r="D1480" t="s">
        <v>56</v>
      </c>
      <c r="F1480" t="s">
        <v>57</v>
      </c>
      <c r="G1480" s="2">
        <v>13901.13</v>
      </c>
      <c r="H1480" t="s">
        <v>15</v>
      </c>
      <c r="I1480">
        <v>28</v>
      </c>
    </row>
    <row r="1481" spans="1:9" hidden="1" x14ac:dyDescent="0.3">
      <c r="A1481" t="s">
        <v>1519</v>
      </c>
      <c r="B1481" t="s">
        <v>31</v>
      </c>
      <c r="D1481" t="s">
        <v>24</v>
      </c>
      <c r="F1481" t="s">
        <v>25</v>
      </c>
      <c r="G1481" s="2">
        <v>10492.31</v>
      </c>
      <c r="H1481" t="s">
        <v>15</v>
      </c>
      <c r="I1481">
        <v>23</v>
      </c>
    </row>
    <row r="1482" spans="1:9" hidden="1" x14ac:dyDescent="0.3">
      <c r="A1482" t="s">
        <v>1520</v>
      </c>
      <c r="B1482" t="s">
        <v>52</v>
      </c>
      <c r="D1482" t="s">
        <v>32</v>
      </c>
      <c r="F1482" t="s">
        <v>33</v>
      </c>
      <c r="G1482" s="2">
        <v>10952.01</v>
      </c>
      <c r="H1482" t="s">
        <v>15</v>
      </c>
      <c r="I1482">
        <v>21</v>
      </c>
    </row>
    <row r="1483" spans="1:9" hidden="1" x14ac:dyDescent="0.3">
      <c r="A1483" t="s">
        <v>1521</v>
      </c>
      <c r="B1483" t="s">
        <v>52</v>
      </c>
      <c r="D1483" t="s">
        <v>99</v>
      </c>
      <c r="F1483" t="s">
        <v>29</v>
      </c>
      <c r="G1483" s="2">
        <v>11441.53</v>
      </c>
      <c r="H1483" t="s">
        <v>20</v>
      </c>
      <c r="I1483">
        <v>12</v>
      </c>
    </row>
    <row r="1484" spans="1:9" hidden="1" x14ac:dyDescent="0.3">
      <c r="A1484" t="s">
        <v>1522</v>
      </c>
      <c r="B1484" t="s">
        <v>54</v>
      </c>
      <c r="D1484" t="s">
        <v>24</v>
      </c>
      <c r="F1484" t="s">
        <v>25</v>
      </c>
      <c r="G1484" s="2">
        <v>95.98</v>
      </c>
      <c r="H1484" t="s">
        <v>11</v>
      </c>
      <c r="I1484">
        <v>0</v>
      </c>
    </row>
    <row r="1485" spans="1:9" hidden="1" x14ac:dyDescent="0.3">
      <c r="A1485" t="s">
        <v>1523</v>
      </c>
      <c r="B1485" t="s">
        <v>54</v>
      </c>
      <c r="D1485" t="s">
        <v>9</v>
      </c>
      <c r="F1485" t="s">
        <v>10</v>
      </c>
      <c r="G1485" s="2">
        <v>1706.88</v>
      </c>
      <c r="H1485" t="s">
        <v>11</v>
      </c>
      <c r="I1485">
        <v>0</v>
      </c>
    </row>
    <row r="1486" spans="1:9" hidden="1" x14ac:dyDescent="0.3">
      <c r="A1486" t="s">
        <v>1524</v>
      </c>
      <c r="B1486" t="s">
        <v>44</v>
      </c>
      <c r="D1486" t="s">
        <v>56</v>
      </c>
      <c r="F1486" t="s">
        <v>57</v>
      </c>
      <c r="G1486" s="2">
        <v>11900</v>
      </c>
      <c r="H1486" t="s">
        <v>15</v>
      </c>
      <c r="I1486">
        <v>31</v>
      </c>
    </row>
    <row r="1487" spans="1:9" hidden="1" x14ac:dyDescent="0.3">
      <c r="A1487" t="s">
        <v>1525</v>
      </c>
      <c r="B1487" t="s">
        <v>37</v>
      </c>
      <c r="D1487" t="s">
        <v>62</v>
      </c>
      <c r="F1487" t="s">
        <v>19</v>
      </c>
      <c r="G1487" s="2">
        <v>2643.51</v>
      </c>
      <c r="H1487" t="s">
        <v>20</v>
      </c>
      <c r="I1487">
        <v>21</v>
      </c>
    </row>
    <row r="1488" spans="1:9" hidden="1" x14ac:dyDescent="0.3">
      <c r="A1488" t="s">
        <v>1526</v>
      </c>
      <c r="B1488" t="s">
        <v>31</v>
      </c>
      <c r="D1488" t="s">
        <v>18</v>
      </c>
      <c r="F1488" t="s">
        <v>19</v>
      </c>
      <c r="G1488" s="2">
        <v>1311.76</v>
      </c>
      <c r="H1488" t="s">
        <v>15</v>
      </c>
      <c r="I1488">
        <v>26</v>
      </c>
    </row>
    <row r="1489" spans="1:9" hidden="1" x14ac:dyDescent="0.3">
      <c r="A1489" t="s">
        <v>1527</v>
      </c>
      <c r="B1489" t="s">
        <v>46</v>
      </c>
      <c r="D1489" t="s">
        <v>32</v>
      </c>
      <c r="F1489" t="s">
        <v>33</v>
      </c>
      <c r="G1489" s="2">
        <v>3406.08</v>
      </c>
      <c r="H1489" t="s">
        <v>47</v>
      </c>
      <c r="I1489">
        <v>60</v>
      </c>
    </row>
    <row r="1490" spans="1:9" hidden="1" x14ac:dyDescent="0.3">
      <c r="A1490" t="s">
        <v>1528</v>
      </c>
      <c r="B1490" t="s">
        <v>17</v>
      </c>
      <c r="D1490" t="s">
        <v>32</v>
      </c>
      <c r="F1490" t="s">
        <v>33</v>
      </c>
      <c r="G1490" s="2">
        <v>9418.08</v>
      </c>
      <c r="H1490" t="s">
        <v>47</v>
      </c>
      <c r="I1490">
        <v>30</v>
      </c>
    </row>
    <row r="1491" spans="1:9" hidden="1" x14ac:dyDescent="0.3">
      <c r="A1491" t="s">
        <v>1529</v>
      </c>
      <c r="B1491" t="s">
        <v>54</v>
      </c>
      <c r="D1491" t="s">
        <v>62</v>
      </c>
      <c r="F1491" t="s">
        <v>19</v>
      </c>
      <c r="G1491" s="2">
        <v>10533.85</v>
      </c>
      <c r="H1491" t="s">
        <v>11</v>
      </c>
      <c r="I1491">
        <v>7</v>
      </c>
    </row>
    <row r="1492" spans="1:9" hidden="1" x14ac:dyDescent="0.3">
      <c r="A1492" t="s">
        <v>1530</v>
      </c>
      <c r="B1492" t="s">
        <v>54</v>
      </c>
      <c r="D1492" t="s">
        <v>62</v>
      </c>
      <c r="F1492" t="s">
        <v>19</v>
      </c>
      <c r="G1492" s="2">
        <v>2281.31</v>
      </c>
      <c r="H1492" t="s">
        <v>47</v>
      </c>
      <c r="I1492">
        <v>11</v>
      </c>
    </row>
    <row r="1493" spans="1:9" hidden="1" x14ac:dyDescent="0.3">
      <c r="A1493" t="s">
        <v>1531</v>
      </c>
      <c r="B1493" t="s">
        <v>52</v>
      </c>
      <c r="D1493" t="s">
        <v>9</v>
      </c>
      <c r="F1493" t="s">
        <v>10</v>
      </c>
      <c r="G1493" s="2">
        <v>261.02</v>
      </c>
      <c r="H1493" t="s">
        <v>15</v>
      </c>
      <c r="I1493">
        <v>50</v>
      </c>
    </row>
    <row r="1494" spans="1:9" x14ac:dyDescent="0.3">
      <c r="A1494" t="s">
        <v>1532</v>
      </c>
      <c r="B1494" t="s">
        <v>37</v>
      </c>
      <c r="D1494" t="s">
        <v>40</v>
      </c>
      <c r="F1494" t="s">
        <v>41</v>
      </c>
      <c r="G1494" s="2">
        <v>1821.76</v>
      </c>
      <c r="H1494" t="s">
        <v>20</v>
      </c>
      <c r="I1494">
        <v>13</v>
      </c>
    </row>
    <row r="1495" spans="1:9" hidden="1" x14ac:dyDescent="0.3">
      <c r="A1495" t="s">
        <v>1533</v>
      </c>
      <c r="B1495" t="s">
        <v>17</v>
      </c>
      <c r="D1495" t="s">
        <v>62</v>
      </c>
      <c r="F1495" t="s">
        <v>19</v>
      </c>
      <c r="G1495" s="2">
        <v>11209.32</v>
      </c>
      <c r="H1495" t="s">
        <v>15</v>
      </c>
      <c r="I1495">
        <v>28</v>
      </c>
    </row>
    <row r="1496" spans="1:9" hidden="1" x14ac:dyDescent="0.3">
      <c r="A1496" t="s">
        <v>1534</v>
      </c>
      <c r="B1496" t="s">
        <v>17</v>
      </c>
      <c r="D1496" t="s">
        <v>32</v>
      </c>
      <c r="F1496" t="s">
        <v>33</v>
      </c>
      <c r="G1496" s="2">
        <v>3272.72</v>
      </c>
      <c r="H1496" t="s">
        <v>35</v>
      </c>
      <c r="I1496">
        <v>47</v>
      </c>
    </row>
    <row r="1497" spans="1:9" hidden="1" x14ac:dyDescent="0.3">
      <c r="A1497" t="s">
        <v>1535</v>
      </c>
      <c r="B1497" t="s">
        <v>37</v>
      </c>
      <c r="D1497" t="s">
        <v>56</v>
      </c>
      <c r="F1497" t="s">
        <v>57</v>
      </c>
      <c r="G1497" s="2">
        <v>2746.53</v>
      </c>
      <c r="H1497" t="s">
        <v>35</v>
      </c>
      <c r="I1497">
        <v>2</v>
      </c>
    </row>
    <row r="1498" spans="1:9" hidden="1" x14ac:dyDescent="0.3">
      <c r="A1498" t="s">
        <v>1536</v>
      </c>
      <c r="B1498" t="s">
        <v>27</v>
      </c>
      <c r="D1498" t="s">
        <v>62</v>
      </c>
      <c r="F1498" t="s">
        <v>19</v>
      </c>
      <c r="G1498" s="2">
        <v>3570.51</v>
      </c>
      <c r="H1498" t="s">
        <v>15</v>
      </c>
      <c r="I1498">
        <v>16</v>
      </c>
    </row>
    <row r="1499" spans="1:9" hidden="1" x14ac:dyDescent="0.3">
      <c r="A1499" t="s">
        <v>1537</v>
      </c>
      <c r="B1499" t="s">
        <v>52</v>
      </c>
      <c r="D1499" t="s">
        <v>32</v>
      </c>
      <c r="F1499" t="s">
        <v>33</v>
      </c>
      <c r="G1499" s="2">
        <v>10279.790000000001</v>
      </c>
      <c r="H1499" t="s">
        <v>15</v>
      </c>
      <c r="I1499">
        <v>1</v>
      </c>
    </row>
    <row r="1500" spans="1:9" hidden="1" x14ac:dyDescent="0.3">
      <c r="A1500" t="s">
        <v>1538</v>
      </c>
      <c r="B1500" t="s">
        <v>17</v>
      </c>
      <c r="D1500" t="s">
        <v>24</v>
      </c>
      <c r="F1500" t="s">
        <v>25</v>
      </c>
      <c r="G1500" s="2">
        <v>13078.08</v>
      </c>
      <c r="H1500" t="s">
        <v>47</v>
      </c>
      <c r="I1500">
        <v>26</v>
      </c>
    </row>
    <row r="1501" spans="1:9" hidden="1" x14ac:dyDescent="0.3">
      <c r="A1501" t="s">
        <v>1539</v>
      </c>
      <c r="B1501" t="s">
        <v>8</v>
      </c>
      <c r="D1501" t="s">
        <v>56</v>
      </c>
      <c r="F1501" t="s">
        <v>57</v>
      </c>
      <c r="G1501" s="2">
        <v>10641.37</v>
      </c>
      <c r="H1501" t="s">
        <v>35</v>
      </c>
      <c r="I1501">
        <v>17</v>
      </c>
    </row>
  </sheetData>
  <autoFilter ref="A1:I1501" xr:uid="{00000000-0009-0000-0000-000000000000}">
    <filterColumn colId="3">
      <filters>
        <filter val="CO-45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1AF06-593D-45EA-9CBD-FABA23864781}">
  <dimension ref="A1:L34"/>
  <sheetViews>
    <sheetView topLeftCell="A14" workbookViewId="0">
      <selection activeCell="B10" sqref="B10"/>
    </sheetView>
  </sheetViews>
  <sheetFormatPr defaultRowHeight="14.4" x14ac:dyDescent="0.3"/>
  <cols>
    <col min="1" max="1" width="23.6640625" bestFit="1" customWidth="1"/>
    <col min="2" max="2" width="12.88671875" bestFit="1" customWidth="1"/>
    <col min="5" max="5" width="12.5546875" bestFit="1" customWidth="1"/>
    <col min="6" max="6" width="24.88671875" bestFit="1" customWidth="1"/>
    <col min="7" max="7" width="16.33203125" bestFit="1" customWidth="1"/>
    <col min="8" max="8" width="21.5546875" bestFit="1" customWidth="1"/>
    <col min="9" max="9" width="24.6640625" bestFit="1" customWidth="1"/>
    <col min="11" max="11" width="12.5546875" bestFit="1" customWidth="1"/>
    <col min="12" max="12" width="24.88671875" bestFit="1" customWidth="1"/>
  </cols>
  <sheetData>
    <row r="1" spans="1:12" x14ac:dyDescent="0.3">
      <c r="A1" s="3" t="s">
        <v>1540</v>
      </c>
      <c r="B1" s="5" t="s">
        <v>1541</v>
      </c>
      <c r="E1" s="8" t="s">
        <v>1</v>
      </c>
      <c r="F1" t="s">
        <v>1558</v>
      </c>
      <c r="H1" s="8" t="s">
        <v>1</v>
      </c>
      <c r="I1" t="s">
        <v>1559</v>
      </c>
      <c r="K1" s="8" t="s">
        <v>1560</v>
      </c>
      <c r="L1" t="s">
        <v>1558</v>
      </c>
    </row>
    <row r="2" spans="1:12" x14ac:dyDescent="0.3">
      <c r="A2" s="7" t="s">
        <v>1542</v>
      </c>
      <c r="B2" s="4">
        <f>COUNTA(Raw_Data!A2:A1501)</f>
        <v>1500</v>
      </c>
      <c r="E2" s="9" t="s">
        <v>52</v>
      </c>
      <c r="F2">
        <v>174</v>
      </c>
      <c r="H2" s="9" t="s">
        <v>52</v>
      </c>
      <c r="I2" s="2">
        <v>1253670.2500000002</v>
      </c>
      <c r="K2" s="9" t="s">
        <v>19</v>
      </c>
      <c r="L2">
        <v>296</v>
      </c>
    </row>
    <row r="3" spans="1:12" x14ac:dyDescent="0.3">
      <c r="A3" s="7" t="s">
        <v>1543</v>
      </c>
      <c r="B3" s="6">
        <f>SUM(Raw_Data!G:G)</f>
        <v>11192189.930000005</v>
      </c>
      <c r="E3" s="9" t="s">
        <v>44</v>
      </c>
      <c r="F3">
        <v>161</v>
      </c>
      <c r="H3" s="9" t="s">
        <v>46</v>
      </c>
      <c r="I3" s="2">
        <v>1179269.8899999999</v>
      </c>
      <c r="K3" s="9" t="s">
        <v>29</v>
      </c>
      <c r="L3">
        <v>274</v>
      </c>
    </row>
    <row r="4" spans="1:12" x14ac:dyDescent="0.3">
      <c r="A4" s="7" t="s">
        <v>1544</v>
      </c>
      <c r="B4" s="6">
        <f>AVERAGE(Raw_Data!G:G)</f>
        <v>7461.4599533333367</v>
      </c>
      <c r="E4" s="9" t="s">
        <v>54</v>
      </c>
      <c r="F4">
        <v>159</v>
      </c>
      <c r="H4" s="9" t="s">
        <v>54</v>
      </c>
      <c r="I4" s="2">
        <v>1165227.0099999998</v>
      </c>
      <c r="K4" s="9" t="s">
        <v>41</v>
      </c>
      <c r="L4">
        <v>166</v>
      </c>
    </row>
    <row r="5" spans="1:12" x14ac:dyDescent="0.3">
      <c r="A5" s="7" t="s">
        <v>1545</v>
      </c>
      <c r="B5" s="4"/>
      <c r="E5" s="9" t="s">
        <v>46</v>
      </c>
      <c r="F5">
        <v>156</v>
      </c>
      <c r="H5" s="9" t="s">
        <v>31</v>
      </c>
      <c r="I5" s="2">
        <v>1162865.2000000002</v>
      </c>
      <c r="K5" s="9" t="s">
        <v>14</v>
      </c>
      <c r="L5">
        <v>165</v>
      </c>
    </row>
    <row r="6" spans="1:12" x14ac:dyDescent="0.3">
      <c r="A6" s="7" t="s">
        <v>1546</v>
      </c>
      <c r="B6" s="4"/>
      <c r="E6" s="9" t="s">
        <v>8</v>
      </c>
      <c r="F6">
        <v>154</v>
      </c>
      <c r="H6" s="9" t="s">
        <v>8</v>
      </c>
      <c r="I6" s="2">
        <v>1135866.7300000002</v>
      </c>
      <c r="K6" s="9" t="s">
        <v>33</v>
      </c>
      <c r="L6">
        <v>163</v>
      </c>
    </row>
    <row r="7" spans="1:12" x14ac:dyDescent="0.3">
      <c r="A7" s="7" t="s">
        <v>1547</v>
      </c>
      <c r="B7" s="4"/>
      <c r="E7" s="9" t="s">
        <v>27</v>
      </c>
      <c r="F7">
        <v>152</v>
      </c>
      <c r="H7" s="9" t="s">
        <v>44</v>
      </c>
      <c r="I7" s="2">
        <v>1128390.7899999991</v>
      </c>
      <c r="K7" s="9" t="s">
        <v>10</v>
      </c>
      <c r="L7">
        <v>155</v>
      </c>
    </row>
    <row r="8" spans="1:12" x14ac:dyDescent="0.3">
      <c r="A8" s="7" t="s">
        <v>1548</v>
      </c>
      <c r="B8" s="4"/>
      <c r="E8" s="9" t="s">
        <v>37</v>
      </c>
      <c r="F8">
        <v>148</v>
      </c>
      <c r="H8" s="9" t="s">
        <v>27</v>
      </c>
      <c r="I8" s="2">
        <v>1094339.07</v>
      </c>
      <c r="K8" s="9" t="s">
        <v>25</v>
      </c>
      <c r="L8">
        <v>150</v>
      </c>
    </row>
    <row r="9" spans="1:12" x14ac:dyDescent="0.3">
      <c r="A9" s="7" t="s">
        <v>1549</v>
      </c>
      <c r="B9" s="4"/>
      <c r="E9" s="9" t="s">
        <v>31</v>
      </c>
      <c r="F9">
        <v>145</v>
      </c>
      <c r="H9" s="9" t="s">
        <v>37</v>
      </c>
      <c r="I9" s="2">
        <v>1060246.5299999998</v>
      </c>
      <c r="K9" s="9" t="s">
        <v>57</v>
      </c>
      <c r="L9">
        <v>131</v>
      </c>
    </row>
    <row r="10" spans="1:12" x14ac:dyDescent="0.3">
      <c r="A10" s="7" t="s">
        <v>1550</v>
      </c>
      <c r="B10" s="4"/>
      <c r="E10" s="9" t="s">
        <v>22</v>
      </c>
      <c r="F10">
        <v>128</v>
      </c>
      <c r="H10" s="9" t="s">
        <v>22</v>
      </c>
      <c r="I10" s="2">
        <v>1056750.5699999998</v>
      </c>
      <c r="K10" s="9" t="s">
        <v>1557</v>
      </c>
      <c r="L10">
        <v>1500</v>
      </c>
    </row>
    <row r="11" spans="1:12" x14ac:dyDescent="0.3">
      <c r="A11" s="7" t="s">
        <v>1551</v>
      </c>
      <c r="B11" s="4"/>
      <c r="E11" s="9" t="s">
        <v>17</v>
      </c>
      <c r="F11">
        <v>123</v>
      </c>
      <c r="H11" s="9" t="s">
        <v>17</v>
      </c>
      <c r="I11" s="2">
        <v>955563.89000000013</v>
      </c>
    </row>
    <row r="12" spans="1:12" x14ac:dyDescent="0.3">
      <c r="A12" s="7" t="s">
        <v>1552</v>
      </c>
      <c r="B12" s="2">
        <f>MAX(Raw_Data!G:G)</f>
        <v>14994.11</v>
      </c>
      <c r="E12" s="9" t="s">
        <v>1557</v>
      </c>
      <c r="F12">
        <v>1500</v>
      </c>
      <c r="H12" s="9" t="s">
        <v>1557</v>
      </c>
      <c r="I12" s="2">
        <v>11192189.93</v>
      </c>
    </row>
    <row r="13" spans="1:12" x14ac:dyDescent="0.3">
      <c r="A13" s="7" t="s">
        <v>1553</v>
      </c>
      <c r="B13">
        <f>MIN(Raw_Data!G:G)</f>
        <v>71.86</v>
      </c>
    </row>
    <row r="14" spans="1:12" x14ac:dyDescent="0.3">
      <c r="A14" s="10" t="s">
        <v>1551</v>
      </c>
      <c r="B14" s="11">
        <f>287/405</f>
        <v>0.70864197530864192</v>
      </c>
    </row>
    <row r="15" spans="1:12" x14ac:dyDescent="0.3">
      <c r="A15" s="7" t="s">
        <v>1562</v>
      </c>
      <c r="B15" s="11">
        <f>405/1500</f>
        <v>0.27</v>
      </c>
    </row>
    <row r="16" spans="1:12" x14ac:dyDescent="0.3">
      <c r="E16" s="8" t="s">
        <v>1560</v>
      </c>
      <c r="F16" t="s">
        <v>1559</v>
      </c>
      <c r="H16" s="8" t="s">
        <v>1560</v>
      </c>
      <c r="I16" t="s">
        <v>1561</v>
      </c>
      <c r="K16" s="8" t="s">
        <v>1556</v>
      </c>
      <c r="L16" t="s">
        <v>1558</v>
      </c>
    </row>
    <row r="17" spans="5:12" x14ac:dyDescent="0.3">
      <c r="E17" s="9" t="s">
        <v>19</v>
      </c>
      <c r="F17" s="2">
        <v>2157008.5599999996</v>
      </c>
      <c r="H17" s="9" t="s">
        <v>29</v>
      </c>
      <c r="I17" s="2">
        <v>7769.8271532846702</v>
      </c>
      <c r="K17" s="9" t="s">
        <v>15</v>
      </c>
      <c r="L17">
        <v>405</v>
      </c>
    </row>
    <row r="18" spans="5:12" x14ac:dyDescent="0.3">
      <c r="E18" s="9" t="s">
        <v>29</v>
      </c>
      <c r="F18" s="2">
        <v>2128932.6399999997</v>
      </c>
      <c r="H18" s="9" t="s">
        <v>25</v>
      </c>
      <c r="I18" s="2">
        <v>7579.2434666666686</v>
      </c>
      <c r="K18" s="9" t="s">
        <v>11</v>
      </c>
      <c r="L18">
        <v>357</v>
      </c>
    </row>
    <row r="19" spans="5:12" x14ac:dyDescent="0.3">
      <c r="E19" s="9" t="s">
        <v>41</v>
      </c>
      <c r="F19" s="2">
        <v>1239722.6899999995</v>
      </c>
      <c r="H19" s="9" t="s">
        <v>57</v>
      </c>
      <c r="I19" s="2">
        <v>7570.9648854961843</v>
      </c>
      <c r="K19" s="9" t="s">
        <v>20</v>
      </c>
      <c r="L19">
        <v>287</v>
      </c>
    </row>
    <row r="20" spans="5:12" x14ac:dyDescent="0.3">
      <c r="E20" s="9" t="s">
        <v>14</v>
      </c>
      <c r="F20" s="2">
        <v>1196326.8799999997</v>
      </c>
      <c r="H20" s="9" t="s">
        <v>41</v>
      </c>
      <c r="I20" s="2">
        <v>7468.2089759036116</v>
      </c>
      <c r="K20" s="9" t="s">
        <v>35</v>
      </c>
      <c r="L20">
        <v>266</v>
      </c>
    </row>
    <row r="21" spans="5:12" x14ac:dyDescent="0.3">
      <c r="E21" s="9" t="s">
        <v>33</v>
      </c>
      <c r="F21" s="2">
        <v>1195233.6099999996</v>
      </c>
      <c r="H21" s="9" t="s">
        <v>10</v>
      </c>
      <c r="I21" s="2">
        <v>7395.3718064516106</v>
      </c>
      <c r="K21" s="9" t="s">
        <v>47</v>
      </c>
      <c r="L21">
        <v>185</v>
      </c>
    </row>
    <row r="22" spans="5:12" x14ac:dyDescent="0.3">
      <c r="E22" s="9" t="s">
        <v>10</v>
      </c>
      <c r="F22" s="2">
        <v>1146282.6299999997</v>
      </c>
      <c r="H22" s="9" t="s">
        <v>33</v>
      </c>
      <c r="I22" s="2">
        <v>7332.7215337423295</v>
      </c>
      <c r="K22" s="9" t="s">
        <v>1557</v>
      </c>
      <c r="L22">
        <v>1500</v>
      </c>
    </row>
    <row r="23" spans="5:12" x14ac:dyDescent="0.3">
      <c r="E23" s="9" t="s">
        <v>25</v>
      </c>
      <c r="F23" s="2">
        <v>1136886.5200000003</v>
      </c>
      <c r="H23" s="9" t="s">
        <v>19</v>
      </c>
      <c r="I23" s="2">
        <v>7287.1910810810796</v>
      </c>
    </row>
    <row r="24" spans="5:12" x14ac:dyDescent="0.3">
      <c r="E24" s="9" t="s">
        <v>57</v>
      </c>
      <c r="F24" s="2">
        <v>991796.40000000014</v>
      </c>
      <c r="H24" s="9" t="s">
        <v>14</v>
      </c>
      <c r="I24" s="2">
        <v>7250.4659393939373</v>
      </c>
    </row>
    <row r="25" spans="5:12" x14ac:dyDescent="0.3">
      <c r="E25" s="9" t="s">
        <v>1557</v>
      </c>
      <c r="F25" s="2">
        <v>11192189.929999998</v>
      </c>
      <c r="H25" s="9" t="s">
        <v>1557</v>
      </c>
      <c r="I25" s="2">
        <v>7461.4599533333394</v>
      </c>
    </row>
    <row r="26" spans="5:12" x14ac:dyDescent="0.3">
      <c r="K26" s="8" t="s">
        <v>1556</v>
      </c>
      <c r="L26" t="s">
        <v>1563</v>
      </c>
    </row>
    <row r="27" spans="5:12" x14ac:dyDescent="0.3">
      <c r="K27" s="9" t="s">
        <v>47</v>
      </c>
      <c r="L27">
        <v>30.659459459459459</v>
      </c>
    </row>
    <row r="28" spans="5:12" x14ac:dyDescent="0.3">
      <c r="E28" s="8" t="s">
        <v>1556</v>
      </c>
      <c r="F28" t="s">
        <v>1563</v>
      </c>
      <c r="G28" t="s">
        <v>1558</v>
      </c>
      <c r="H28" t="s">
        <v>1559</v>
      </c>
      <c r="K28" s="9" t="s">
        <v>35</v>
      </c>
      <c r="L28">
        <v>30.3796992481203</v>
      </c>
    </row>
    <row r="29" spans="5:12" x14ac:dyDescent="0.3">
      <c r="E29" s="9" t="s">
        <v>47</v>
      </c>
      <c r="F29">
        <v>30.659459459459459</v>
      </c>
      <c r="G29">
        <v>185</v>
      </c>
      <c r="H29" s="2">
        <v>1382835.5499999993</v>
      </c>
      <c r="K29" s="9" t="s">
        <v>20</v>
      </c>
      <c r="L29">
        <v>30.013937282229964</v>
      </c>
    </row>
    <row r="30" spans="5:12" x14ac:dyDescent="0.3">
      <c r="E30" s="9" t="s">
        <v>35</v>
      </c>
      <c r="F30">
        <v>30.3796992481203</v>
      </c>
      <c r="G30">
        <v>266</v>
      </c>
      <c r="H30" s="2">
        <v>2047814.2800000005</v>
      </c>
      <c r="K30" s="9" t="s">
        <v>15</v>
      </c>
      <c r="L30">
        <v>29.155555555555555</v>
      </c>
    </row>
    <row r="31" spans="5:12" x14ac:dyDescent="0.3">
      <c r="E31" s="9" t="s">
        <v>20</v>
      </c>
      <c r="F31">
        <v>30.013937282229964</v>
      </c>
      <c r="G31">
        <v>287</v>
      </c>
      <c r="H31" s="2">
        <v>2029074.0100000014</v>
      </c>
      <c r="K31" s="9" t="s">
        <v>11</v>
      </c>
      <c r="L31">
        <v>2.0728291316526612</v>
      </c>
    </row>
    <row r="32" spans="5:12" x14ac:dyDescent="0.3">
      <c r="E32" s="9" t="s">
        <v>15</v>
      </c>
      <c r="F32">
        <v>29.155555555555555</v>
      </c>
      <c r="G32">
        <v>405</v>
      </c>
      <c r="H32" s="2">
        <v>3126801.3499999982</v>
      </c>
      <c r="K32" s="9" t="s">
        <v>1557</v>
      </c>
      <c r="L32">
        <v>23.276666666666667</v>
      </c>
    </row>
    <row r="33" spans="5:8" x14ac:dyDescent="0.3">
      <c r="E33" s="9" t="s">
        <v>11</v>
      </c>
      <c r="F33">
        <v>2.0728291316526612</v>
      </c>
      <c r="G33">
        <v>357</v>
      </c>
      <c r="H33" s="2">
        <v>2605664.7399999993</v>
      </c>
    </row>
    <row r="34" spans="5:8" x14ac:dyDescent="0.3">
      <c r="E34" s="9" t="s">
        <v>1557</v>
      </c>
      <c r="F34">
        <v>23.276666666666667</v>
      </c>
      <c r="G34">
        <v>1500</v>
      </c>
      <c r="H34" s="2">
        <v>11192189.929999996</v>
      </c>
    </row>
  </sheetData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Pandya</cp:lastModifiedBy>
  <cp:lastPrinted>2026-09-15T16:21:56Z</cp:lastPrinted>
  <dcterms:created xsi:type="dcterms:W3CDTF">2026-09-15T15:57:46Z</dcterms:created>
  <dcterms:modified xsi:type="dcterms:W3CDTF">2026-09-17T16:52:32Z</dcterms:modified>
</cp:coreProperties>
</file>